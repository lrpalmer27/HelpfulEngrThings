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ogan\Desktop\HelpfulEngrThings\"/>
    </mc:Choice>
  </mc:AlternateContent>
  <xr:revisionPtr revIDLastSave="0" documentId="13_ncr:1_{9C03B33A-2E27-4B02-A267-651A803C978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oltCalculator" sheetId="5" r:id="rId1"/>
    <sheet name="Metric Bolt Data 4 bolt calc" sheetId="4" r:id="rId2"/>
    <sheet name="BOM TEMPLAT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17" i="5" s="1"/>
  <c r="B7" i="5"/>
  <c r="B20" i="5"/>
  <c r="F635" i="2"/>
  <c r="G635" i="2" s="1"/>
  <c r="F634" i="2"/>
  <c r="G634" i="2" s="1"/>
  <c r="F633" i="2"/>
  <c r="G633" i="2" s="1"/>
  <c r="F632" i="2"/>
  <c r="G632" i="2" s="1"/>
  <c r="F631" i="2"/>
  <c r="G631" i="2" s="1"/>
  <c r="F630" i="2"/>
  <c r="G630" i="2" s="1"/>
  <c r="F629" i="2"/>
  <c r="G629" i="2" s="1"/>
  <c r="F628" i="2"/>
  <c r="G628" i="2" s="1"/>
  <c r="F627" i="2"/>
  <c r="G627" i="2" s="1"/>
  <c r="F626" i="2"/>
  <c r="G626" i="2" s="1"/>
  <c r="F625" i="2"/>
  <c r="G625" i="2" s="1"/>
  <c r="F624" i="2"/>
  <c r="G624" i="2" s="1"/>
  <c r="F623" i="2"/>
  <c r="G623" i="2" s="1"/>
  <c r="F622" i="2"/>
  <c r="G622" i="2" s="1"/>
  <c r="F621" i="2"/>
  <c r="G621" i="2" s="1"/>
  <c r="F620" i="2"/>
  <c r="G620" i="2" s="1"/>
  <c r="F619" i="2"/>
  <c r="G619" i="2" s="1"/>
  <c r="F618" i="2"/>
  <c r="G618" i="2" s="1"/>
  <c r="F617" i="2"/>
  <c r="G617" i="2" s="1"/>
  <c r="F616" i="2"/>
  <c r="G616" i="2" s="1"/>
  <c r="F615" i="2"/>
  <c r="G615" i="2" s="1"/>
  <c r="F614" i="2"/>
  <c r="G614" i="2" s="1"/>
  <c r="F613" i="2"/>
  <c r="G613" i="2" s="1"/>
  <c r="F612" i="2"/>
  <c r="G612" i="2" s="1"/>
  <c r="F611" i="2"/>
  <c r="G611" i="2" s="1"/>
  <c r="F610" i="2"/>
  <c r="G610" i="2" s="1"/>
  <c r="F609" i="2"/>
  <c r="G609" i="2" s="1"/>
  <c r="F608" i="2"/>
  <c r="G608" i="2" s="1"/>
  <c r="F607" i="2"/>
  <c r="G607" i="2" s="1"/>
  <c r="F606" i="2"/>
  <c r="G606" i="2" s="1"/>
  <c r="F605" i="2"/>
  <c r="G605" i="2" s="1"/>
  <c r="F604" i="2"/>
  <c r="G604" i="2" s="1"/>
  <c r="F603" i="2"/>
  <c r="G603" i="2" s="1"/>
  <c r="F602" i="2"/>
  <c r="G602" i="2" s="1"/>
  <c r="F601" i="2"/>
  <c r="G601" i="2" s="1"/>
  <c r="F600" i="2"/>
  <c r="G600" i="2" s="1"/>
  <c r="F599" i="2"/>
  <c r="G599" i="2" s="1"/>
  <c r="F598" i="2"/>
  <c r="G598" i="2" s="1"/>
  <c r="F597" i="2"/>
  <c r="G597" i="2" s="1"/>
  <c r="F596" i="2"/>
  <c r="G596" i="2" s="1"/>
  <c r="F595" i="2"/>
  <c r="G595" i="2" s="1"/>
  <c r="F594" i="2"/>
  <c r="G594" i="2" s="1"/>
  <c r="F593" i="2"/>
  <c r="G593" i="2" s="1"/>
  <c r="F592" i="2"/>
  <c r="G592" i="2" s="1"/>
  <c r="F591" i="2"/>
  <c r="G591" i="2" s="1"/>
  <c r="F590" i="2"/>
  <c r="G590" i="2" s="1"/>
  <c r="F589" i="2"/>
  <c r="G589" i="2" s="1"/>
  <c r="F588" i="2"/>
  <c r="G588" i="2" s="1"/>
  <c r="F587" i="2"/>
  <c r="G587" i="2" s="1"/>
  <c r="F586" i="2"/>
  <c r="G586" i="2" s="1"/>
  <c r="F585" i="2"/>
  <c r="G585" i="2" s="1"/>
  <c r="F584" i="2"/>
  <c r="G584" i="2" s="1"/>
  <c r="F583" i="2"/>
  <c r="G583" i="2" s="1"/>
  <c r="F582" i="2"/>
  <c r="G582" i="2" s="1"/>
  <c r="F581" i="2"/>
  <c r="G581" i="2" s="1"/>
  <c r="F580" i="2"/>
  <c r="G580" i="2" s="1"/>
  <c r="F579" i="2"/>
  <c r="G579" i="2" s="1"/>
  <c r="F578" i="2"/>
  <c r="G578" i="2" s="1"/>
  <c r="F577" i="2"/>
  <c r="G577" i="2" s="1"/>
  <c r="F576" i="2"/>
  <c r="G576" i="2" s="1"/>
  <c r="F575" i="2"/>
  <c r="G575" i="2" s="1"/>
  <c r="F574" i="2"/>
  <c r="G574" i="2" s="1"/>
  <c r="F573" i="2"/>
  <c r="G573" i="2" s="1"/>
  <c r="F572" i="2"/>
  <c r="G572" i="2" s="1"/>
  <c r="F571" i="2"/>
  <c r="G571" i="2" s="1"/>
  <c r="F570" i="2"/>
  <c r="G570" i="2" s="1"/>
  <c r="F569" i="2"/>
  <c r="G569" i="2" s="1"/>
  <c r="F568" i="2"/>
  <c r="G568" i="2" s="1"/>
  <c r="F567" i="2"/>
  <c r="G567" i="2" s="1"/>
  <c r="F566" i="2"/>
  <c r="G566" i="2" s="1"/>
  <c r="F565" i="2"/>
  <c r="G565" i="2" s="1"/>
  <c r="F564" i="2"/>
  <c r="G564" i="2" s="1"/>
  <c r="F563" i="2"/>
  <c r="G563" i="2" s="1"/>
  <c r="F562" i="2"/>
  <c r="G562" i="2" s="1"/>
  <c r="F561" i="2"/>
  <c r="G561" i="2" s="1"/>
  <c r="F560" i="2"/>
  <c r="G560" i="2" s="1"/>
  <c r="F559" i="2"/>
  <c r="G559" i="2" s="1"/>
  <c r="F558" i="2"/>
  <c r="G558" i="2" s="1"/>
  <c r="F557" i="2"/>
  <c r="G557" i="2" s="1"/>
  <c r="F556" i="2"/>
  <c r="G556" i="2" s="1"/>
  <c r="F555" i="2"/>
  <c r="G555" i="2" s="1"/>
  <c r="F554" i="2"/>
  <c r="G554" i="2" s="1"/>
  <c r="F553" i="2"/>
  <c r="G553" i="2" s="1"/>
  <c r="F552" i="2"/>
  <c r="G552" i="2" s="1"/>
  <c r="F551" i="2"/>
  <c r="G551" i="2" s="1"/>
  <c r="F550" i="2"/>
  <c r="G550" i="2" s="1"/>
  <c r="F549" i="2"/>
  <c r="G549" i="2" s="1"/>
  <c r="F548" i="2"/>
  <c r="G548" i="2" s="1"/>
  <c r="F547" i="2"/>
  <c r="G547" i="2" s="1"/>
  <c r="F546" i="2"/>
  <c r="G546" i="2" s="1"/>
  <c r="F545" i="2"/>
  <c r="G545" i="2" s="1"/>
  <c r="F544" i="2"/>
  <c r="G544" i="2" s="1"/>
  <c r="F543" i="2"/>
  <c r="G543" i="2" s="1"/>
  <c r="F542" i="2"/>
  <c r="G542" i="2" s="1"/>
  <c r="F541" i="2"/>
  <c r="G541" i="2" s="1"/>
  <c r="F540" i="2"/>
  <c r="G540" i="2" s="1"/>
  <c r="F539" i="2"/>
  <c r="G539" i="2" s="1"/>
  <c r="F538" i="2"/>
  <c r="G538" i="2" s="1"/>
  <c r="F537" i="2"/>
  <c r="G537" i="2" s="1"/>
  <c r="F536" i="2"/>
  <c r="G536" i="2" s="1"/>
  <c r="F535" i="2"/>
  <c r="G535" i="2" s="1"/>
  <c r="F534" i="2"/>
  <c r="G534" i="2" s="1"/>
  <c r="F533" i="2"/>
  <c r="G533" i="2" s="1"/>
  <c r="F532" i="2"/>
  <c r="G532" i="2" s="1"/>
  <c r="F531" i="2"/>
  <c r="G531" i="2" s="1"/>
  <c r="F530" i="2"/>
  <c r="G530" i="2" s="1"/>
  <c r="F529" i="2"/>
  <c r="G529" i="2" s="1"/>
  <c r="F528" i="2"/>
  <c r="G528" i="2" s="1"/>
  <c r="F527" i="2"/>
  <c r="G527" i="2" s="1"/>
  <c r="F526" i="2"/>
  <c r="G526" i="2" s="1"/>
  <c r="F525" i="2"/>
  <c r="G525" i="2" s="1"/>
  <c r="F524" i="2"/>
  <c r="G524" i="2" s="1"/>
  <c r="F523" i="2"/>
  <c r="G523" i="2" s="1"/>
  <c r="F522" i="2"/>
  <c r="G522" i="2" s="1"/>
  <c r="F521" i="2"/>
  <c r="G521" i="2" s="1"/>
  <c r="F520" i="2"/>
  <c r="G520" i="2" s="1"/>
  <c r="F519" i="2"/>
  <c r="G519" i="2" s="1"/>
  <c r="F518" i="2"/>
  <c r="G518" i="2" s="1"/>
  <c r="F517" i="2"/>
  <c r="G517" i="2" s="1"/>
  <c r="F516" i="2"/>
  <c r="G516" i="2" s="1"/>
  <c r="F515" i="2"/>
  <c r="G515" i="2" s="1"/>
  <c r="F514" i="2"/>
  <c r="G514" i="2" s="1"/>
  <c r="F513" i="2"/>
  <c r="G513" i="2" s="1"/>
  <c r="F512" i="2"/>
  <c r="G512" i="2" s="1"/>
  <c r="F511" i="2"/>
  <c r="G511" i="2" s="1"/>
  <c r="F510" i="2"/>
  <c r="G510" i="2" s="1"/>
  <c r="F509" i="2"/>
  <c r="G509" i="2" s="1"/>
  <c r="F508" i="2"/>
  <c r="G508" i="2" s="1"/>
  <c r="F507" i="2"/>
  <c r="G507" i="2" s="1"/>
  <c r="F506" i="2"/>
  <c r="G506" i="2" s="1"/>
  <c r="F505" i="2"/>
  <c r="G505" i="2" s="1"/>
  <c r="F504" i="2"/>
  <c r="G504" i="2" s="1"/>
  <c r="F503" i="2"/>
  <c r="G503" i="2" s="1"/>
  <c r="F502" i="2"/>
  <c r="G502" i="2" s="1"/>
  <c r="F501" i="2"/>
  <c r="G501" i="2" s="1"/>
  <c r="F500" i="2"/>
  <c r="G500" i="2" s="1"/>
  <c r="F499" i="2"/>
  <c r="G499" i="2" s="1"/>
  <c r="F498" i="2"/>
  <c r="G498" i="2" s="1"/>
  <c r="F497" i="2"/>
  <c r="G497" i="2" s="1"/>
  <c r="F496" i="2"/>
  <c r="G496" i="2" s="1"/>
  <c r="F495" i="2"/>
  <c r="G495" i="2" s="1"/>
  <c r="F494" i="2"/>
  <c r="G494" i="2" s="1"/>
  <c r="F493" i="2"/>
  <c r="G493" i="2" s="1"/>
  <c r="F492" i="2"/>
  <c r="G492" i="2" s="1"/>
  <c r="F491" i="2"/>
  <c r="G491" i="2" s="1"/>
  <c r="F490" i="2"/>
  <c r="G490" i="2" s="1"/>
  <c r="F489" i="2"/>
  <c r="G489" i="2" s="1"/>
  <c r="F488" i="2"/>
  <c r="G488" i="2" s="1"/>
  <c r="F487" i="2"/>
  <c r="G487" i="2" s="1"/>
  <c r="F486" i="2"/>
  <c r="G486" i="2" s="1"/>
  <c r="F485" i="2"/>
  <c r="G485" i="2" s="1"/>
  <c r="F484" i="2"/>
  <c r="G484" i="2" s="1"/>
  <c r="F483" i="2"/>
  <c r="G483" i="2" s="1"/>
  <c r="F482" i="2"/>
  <c r="G482" i="2" s="1"/>
  <c r="F481" i="2"/>
  <c r="G481" i="2" s="1"/>
  <c r="F480" i="2"/>
  <c r="G480" i="2" s="1"/>
  <c r="F479" i="2"/>
  <c r="G479" i="2" s="1"/>
  <c r="F478" i="2"/>
  <c r="G478" i="2" s="1"/>
  <c r="F477" i="2"/>
  <c r="G477" i="2" s="1"/>
  <c r="F476" i="2"/>
  <c r="G476" i="2" s="1"/>
  <c r="F475" i="2"/>
  <c r="G475" i="2" s="1"/>
  <c r="F474" i="2"/>
  <c r="G474" i="2" s="1"/>
  <c r="F473" i="2"/>
  <c r="G473" i="2" s="1"/>
  <c r="F472" i="2"/>
  <c r="G472" i="2" s="1"/>
  <c r="F471" i="2"/>
  <c r="G471" i="2" s="1"/>
  <c r="F470" i="2"/>
  <c r="G470" i="2" s="1"/>
  <c r="F469" i="2"/>
  <c r="G469" i="2" s="1"/>
  <c r="F468" i="2"/>
  <c r="G468" i="2" s="1"/>
  <c r="F467" i="2"/>
  <c r="G467" i="2" s="1"/>
  <c r="F466" i="2"/>
  <c r="G466" i="2" s="1"/>
  <c r="F465" i="2"/>
  <c r="G465" i="2" s="1"/>
  <c r="F464" i="2"/>
  <c r="G464" i="2" s="1"/>
  <c r="F463" i="2"/>
  <c r="G463" i="2" s="1"/>
  <c r="F462" i="2"/>
  <c r="G462" i="2" s="1"/>
  <c r="F461" i="2"/>
  <c r="G461" i="2" s="1"/>
  <c r="F460" i="2"/>
  <c r="G460" i="2" s="1"/>
  <c r="F459" i="2"/>
  <c r="G459" i="2" s="1"/>
  <c r="F458" i="2"/>
  <c r="G458" i="2" s="1"/>
  <c r="F457" i="2"/>
  <c r="G457" i="2" s="1"/>
  <c r="F456" i="2"/>
  <c r="G456" i="2" s="1"/>
  <c r="F455" i="2"/>
  <c r="G455" i="2" s="1"/>
  <c r="F454" i="2"/>
  <c r="G454" i="2" s="1"/>
  <c r="F453" i="2"/>
  <c r="G453" i="2" s="1"/>
  <c r="F452" i="2"/>
  <c r="G452" i="2" s="1"/>
  <c r="F451" i="2"/>
  <c r="G451" i="2" s="1"/>
  <c r="F450" i="2"/>
  <c r="G450" i="2" s="1"/>
  <c r="F449" i="2"/>
  <c r="G449" i="2" s="1"/>
  <c r="F448" i="2"/>
  <c r="G448" i="2" s="1"/>
  <c r="F447" i="2"/>
  <c r="G447" i="2" s="1"/>
  <c r="F446" i="2"/>
  <c r="G446" i="2" s="1"/>
  <c r="F445" i="2"/>
  <c r="G445" i="2" s="1"/>
  <c r="F444" i="2"/>
  <c r="G444" i="2" s="1"/>
  <c r="F443" i="2"/>
  <c r="G443" i="2" s="1"/>
  <c r="F442" i="2"/>
  <c r="G442" i="2" s="1"/>
  <c r="F441" i="2"/>
  <c r="G441" i="2" s="1"/>
  <c r="F440" i="2"/>
  <c r="G440" i="2" s="1"/>
  <c r="F439" i="2"/>
  <c r="G439" i="2" s="1"/>
  <c r="F438" i="2"/>
  <c r="G438" i="2" s="1"/>
  <c r="F437" i="2"/>
  <c r="G437" i="2" s="1"/>
  <c r="F436" i="2"/>
  <c r="G436" i="2" s="1"/>
  <c r="F435" i="2"/>
  <c r="G435" i="2" s="1"/>
  <c r="F434" i="2"/>
  <c r="G434" i="2" s="1"/>
  <c r="F433" i="2"/>
  <c r="G433" i="2" s="1"/>
  <c r="F432" i="2"/>
  <c r="G432" i="2" s="1"/>
  <c r="F431" i="2"/>
  <c r="G431" i="2" s="1"/>
  <c r="F430" i="2"/>
  <c r="G430" i="2" s="1"/>
  <c r="F429" i="2"/>
  <c r="G429" i="2" s="1"/>
  <c r="F428" i="2"/>
  <c r="G428" i="2" s="1"/>
  <c r="F427" i="2"/>
  <c r="G427" i="2" s="1"/>
  <c r="F426" i="2"/>
  <c r="G426" i="2" s="1"/>
  <c r="F425" i="2"/>
  <c r="G425" i="2" s="1"/>
  <c r="F424" i="2"/>
  <c r="G424" i="2" s="1"/>
  <c r="F423" i="2"/>
  <c r="G423" i="2" s="1"/>
  <c r="F422" i="2"/>
  <c r="G422" i="2" s="1"/>
  <c r="F421" i="2"/>
  <c r="G421" i="2" s="1"/>
  <c r="F420" i="2"/>
  <c r="G420" i="2" s="1"/>
  <c r="F419" i="2"/>
  <c r="G419" i="2" s="1"/>
  <c r="F418" i="2"/>
  <c r="G418" i="2" s="1"/>
  <c r="F417" i="2"/>
  <c r="G417" i="2" s="1"/>
  <c r="F416" i="2"/>
  <c r="G416" i="2" s="1"/>
  <c r="F415" i="2"/>
  <c r="G415" i="2" s="1"/>
  <c r="F414" i="2"/>
  <c r="G414" i="2" s="1"/>
  <c r="F413" i="2"/>
  <c r="G413" i="2" s="1"/>
  <c r="F412" i="2"/>
  <c r="G412" i="2" s="1"/>
  <c r="F411" i="2"/>
  <c r="G411" i="2" s="1"/>
  <c r="F410" i="2"/>
  <c r="G410" i="2" s="1"/>
  <c r="F409" i="2"/>
  <c r="G409" i="2" s="1"/>
  <c r="F408" i="2"/>
  <c r="G408" i="2" s="1"/>
  <c r="F407" i="2"/>
  <c r="G407" i="2" s="1"/>
  <c r="F406" i="2"/>
  <c r="G406" i="2" s="1"/>
  <c r="F405" i="2"/>
  <c r="G405" i="2" s="1"/>
  <c r="F404" i="2"/>
  <c r="G404" i="2" s="1"/>
  <c r="F403" i="2"/>
  <c r="G403" i="2" s="1"/>
  <c r="F402" i="2"/>
  <c r="G402" i="2" s="1"/>
  <c r="F401" i="2"/>
  <c r="G401" i="2" s="1"/>
  <c r="F400" i="2"/>
  <c r="G400" i="2" s="1"/>
  <c r="F399" i="2"/>
  <c r="G399" i="2" s="1"/>
  <c r="F398" i="2"/>
  <c r="G398" i="2" s="1"/>
  <c r="F397" i="2"/>
  <c r="G397" i="2" s="1"/>
  <c r="F396" i="2"/>
  <c r="G396" i="2" s="1"/>
  <c r="F395" i="2"/>
  <c r="G395" i="2" s="1"/>
  <c r="F394" i="2"/>
  <c r="G394" i="2" s="1"/>
  <c r="F393" i="2"/>
  <c r="G393" i="2" s="1"/>
  <c r="F392" i="2"/>
  <c r="G392" i="2" s="1"/>
  <c r="F391" i="2"/>
  <c r="G391" i="2" s="1"/>
  <c r="F390" i="2"/>
  <c r="G390" i="2" s="1"/>
  <c r="F389" i="2"/>
  <c r="G389" i="2" s="1"/>
  <c r="F388" i="2"/>
  <c r="G388" i="2" s="1"/>
  <c r="F387" i="2"/>
  <c r="G387" i="2" s="1"/>
  <c r="F386" i="2"/>
  <c r="G386" i="2" s="1"/>
  <c r="F385" i="2"/>
  <c r="G385" i="2" s="1"/>
  <c r="F384" i="2"/>
  <c r="G384" i="2" s="1"/>
  <c r="F383" i="2"/>
  <c r="G383" i="2" s="1"/>
  <c r="F382" i="2"/>
  <c r="G382" i="2" s="1"/>
  <c r="F381" i="2"/>
  <c r="G381" i="2" s="1"/>
  <c r="F380" i="2"/>
  <c r="G380" i="2" s="1"/>
  <c r="F379" i="2"/>
  <c r="G379" i="2" s="1"/>
  <c r="F378" i="2"/>
  <c r="G378" i="2" s="1"/>
  <c r="F377" i="2"/>
  <c r="G377" i="2" s="1"/>
  <c r="F376" i="2"/>
  <c r="G376" i="2" s="1"/>
  <c r="F375" i="2"/>
  <c r="G375" i="2" s="1"/>
  <c r="F374" i="2"/>
  <c r="G374" i="2" s="1"/>
  <c r="F373" i="2"/>
  <c r="G373" i="2" s="1"/>
  <c r="F372" i="2"/>
  <c r="G372" i="2" s="1"/>
  <c r="F371" i="2"/>
  <c r="G371" i="2" s="1"/>
  <c r="F370" i="2"/>
  <c r="G370" i="2" s="1"/>
  <c r="F369" i="2"/>
  <c r="G369" i="2" s="1"/>
  <c r="G368" i="2"/>
  <c r="F368" i="2"/>
  <c r="F367" i="2"/>
  <c r="G367" i="2" s="1"/>
  <c r="F366" i="2"/>
  <c r="G366" i="2" s="1"/>
  <c r="F365" i="2"/>
  <c r="G365" i="2" s="1"/>
  <c r="F364" i="2"/>
  <c r="G364" i="2" s="1"/>
  <c r="F363" i="2"/>
  <c r="G363" i="2" s="1"/>
  <c r="F362" i="2"/>
  <c r="G362" i="2" s="1"/>
  <c r="F361" i="2"/>
  <c r="G361" i="2" s="1"/>
  <c r="F360" i="2"/>
  <c r="G360" i="2" s="1"/>
  <c r="F359" i="2"/>
  <c r="G359" i="2" s="1"/>
  <c r="F358" i="2"/>
  <c r="G358" i="2" s="1"/>
  <c r="F357" i="2"/>
  <c r="G357" i="2" s="1"/>
  <c r="F356" i="2"/>
  <c r="G356" i="2" s="1"/>
  <c r="F355" i="2"/>
  <c r="G355" i="2" s="1"/>
  <c r="F354" i="2"/>
  <c r="G354" i="2" s="1"/>
  <c r="F353" i="2"/>
  <c r="G353" i="2" s="1"/>
  <c r="F352" i="2"/>
  <c r="G352" i="2" s="1"/>
  <c r="F351" i="2"/>
  <c r="G351" i="2" s="1"/>
  <c r="F350" i="2"/>
  <c r="G350" i="2" s="1"/>
  <c r="F349" i="2"/>
  <c r="G349" i="2" s="1"/>
  <c r="F348" i="2"/>
  <c r="G348" i="2" s="1"/>
  <c r="F347" i="2"/>
  <c r="G347" i="2" s="1"/>
  <c r="F346" i="2"/>
  <c r="G346" i="2" s="1"/>
  <c r="F345" i="2"/>
  <c r="G345" i="2" s="1"/>
  <c r="F344" i="2"/>
  <c r="G344" i="2" s="1"/>
  <c r="F343" i="2"/>
  <c r="G343" i="2" s="1"/>
  <c r="F342" i="2"/>
  <c r="G342" i="2" s="1"/>
  <c r="F341" i="2"/>
  <c r="G341" i="2" s="1"/>
  <c r="F340" i="2"/>
  <c r="G340" i="2" s="1"/>
  <c r="F339" i="2"/>
  <c r="G339" i="2" s="1"/>
  <c r="F338" i="2"/>
  <c r="G338" i="2" s="1"/>
  <c r="F337" i="2"/>
  <c r="G337" i="2" s="1"/>
  <c r="F336" i="2"/>
  <c r="G336" i="2" s="1"/>
  <c r="F335" i="2"/>
  <c r="G335" i="2" s="1"/>
  <c r="F334" i="2"/>
  <c r="G334" i="2" s="1"/>
  <c r="F333" i="2"/>
  <c r="G333" i="2" s="1"/>
  <c r="F332" i="2"/>
  <c r="G332" i="2" s="1"/>
  <c r="F331" i="2"/>
  <c r="G331" i="2" s="1"/>
  <c r="F330" i="2"/>
  <c r="G330" i="2" s="1"/>
  <c r="F329" i="2"/>
  <c r="G329" i="2" s="1"/>
  <c r="F328" i="2"/>
  <c r="G328" i="2" s="1"/>
  <c r="F327" i="2"/>
  <c r="G327" i="2" s="1"/>
  <c r="F326" i="2"/>
  <c r="G326" i="2" s="1"/>
  <c r="F325" i="2"/>
  <c r="G325" i="2" s="1"/>
  <c r="F324" i="2"/>
  <c r="G324" i="2" s="1"/>
  <c r="F323" i="2"/>
  <c r="G323" i="2" s="1"/>
  <c r="F322" i="2"/>
  <c r="G322" i="2" s="1"/>
  <c r="F321" i="2"/>
  <c r="G321" i="2" s="1"/>
  <c r="F320" i="2"/>
  <c r="G320" i="2" s="1"/>
  <c r="F319" i="2"/>
  <c r="G319" i="2" s="1"/>
  <c r="F318" i="2"/>
  <c r="G318" i="2" s="1"/>
  <c r="F317" i="2"/>
  <c r="G317" i="2" s="1"/>
  <c r="F316" i="2"/>
  <c r="G316" i="2" s="1"/>
  <c r="F315" i="2"/>
  <c r="G315" i="2" s="1"/>
  <c r="F314" i="2"/>
  <c r="G314" i="2" s="1"/>
  <c r="F313" i="2"/>
  <c r="G313" i="2" s="1"/>
  <c r="G312" i="2"/>
  <c r="F312" i="2"/>
  <c r="F311" i="2"/>
  <c r="G311" i="2" s="1"/>
  <c r="F310" i="2"/>
  <c r="G310" i="2" s="1"/>
  <c r="F309" i="2"/>
  <c r="G309" i="2" s="1"/>
  <c r="F308" i="2"/>
  <c r="G308" i="2" s="1"/>
  <c r="F307" i="2"/>
  <c r="G307" i="2" s="1"/>
  <c r="F306" i="2"/>
  <c r="G306" i="2" s="1"/>
  <c r="F305" i="2"/>
  <c r="G305" i="2" s="1"/>
  <c r="G304" i="2"/>
  <c r="F304" i="2"/>
  <c r="F303" i="2"/>
  <c r="G303" i="2" s="1"/>
  <c r="F302" i="2"/>
  <c r="G302" i="2" s="1"/>
  <c r="F301" i="2"/>
  <c r="G301" i="2" s="1"/>
  <c r="F300" i="2"/>
  <c r="G300" i="2" s="1"/>
  <c r="F299" i="2"/>
  <c r="G299" i="2" s="1"/>
  <c r="F298" i="2"/>
  <c r="G298" i="2" s="1"/>
  <c r="F297" i="2"/>
  <c r="G297" i="2" s="1"/>
  <c r="G296" i="2"/>
  <c r="F296" i="2"/>
  <c r="F295" i="2"/>
  <c r="G295" i="2" s="1"/>
  <c r="F294" i="2"/>
  <c r="G294" i="2" s="1"/>
  <c r="F293" i="2"/>
  <c r="G293" i="2" s="1"/>
  <c r="F292" i="2"/>
  <c r="G292" i="2" s="1"/>
  <c r="F291" i="2"/>
  <c r="G291" i="2" s="1"/>
  <c r="F290" i="2"/>
  <c r="G290" i="2" s="1"/>
  <c r="F289" i="2"/>
  <c r="G289" i="2" s="1"/>
  <c r="F288" i="2"/>
  <c r="G288" i="2" s="1"/>
  <c r="F287" i="2"/>
  <c r="G287" i="2" s="1"/>
  <c r="F286" i="2"/>
  <c r="G286" i="2" s="1"/>
  <c r="F285" i="2"/>
  <c r="G285" i="2" s="1"/>
  <c r="F284" i="2"/>
  <c r="G284" i="2" s="1"/>
  <c r="F283" i="2"/>
  <c r="G283" i="2" s="1"/>
  <c r="F282" i="2"/>
  <c r="G282" i="2" s="1"/>
  <c r="F281" i="2"/>
  <c r="G281" i="2" s="1"/>
  <c r="G280" i="2"/>
  <c r="F280" i="2"/>
  <c r="F279" i="2"/>
  <c r="G279" i="2" s="1"/>
  <c r="F278" i="2"/>
  <c r="G278" i="2" s="1"/>
  <c r="F277" i="2"/>
  <c r="G277" i="2" s="1"/>
  <c r="F276" i="2"/>
  <c r="G276" i="2" s="1"/>
  <c r="F275" i="2"/>
  <c r="G275" i="2" s="1"/>
  <c r="F274" i="2"/>
  <c r="G274" i="2" s="1"/>
  <c r="F273" i="2"/>
  <c r="G273" i="2" s="1"/>
  <c r="G272" i="2"/>
  <c r="F272" i="2"/>
  <c r="F271" i="2"/>
  <c r="G271" i="2" s="1"/>
  <c r="F270" i="2"/>
  <c r="G270" i="2" s="1"/>
  <c r="F269" i="2"/>
  <c r="G269" i="2" s="1"/>
  <c r="F268" i="2"/>
  <c r="G268" i="2" s="1"/>
  <c r="F267" i="2"/>
  <c r="G267" i="2" s="1"/>
  <c r="F266" i="2"/>
  <c r="G266" i="2" s="1"/>
  <c r="F265" i="2"/>
  <c r="G265" i="2" s="1"/>
  <c r="G264" i="2"/>
  <c r="F264" i="2"/>
  <c r="F263" i="2"/>
  <c r="G263" i="2" s="1"/>
  <c r="F262" i="2"/>
  <c r="G262" i="2" s="1"/>
  <c r="F261" i="2"/>
  <c r="G261" i="2" s="1"/>
  <c r="F260" i="2"/>
  <c r="G260" i="2" s="1"/>
  <c r="F259" i="2"/>
  <c r="G259" i="2" s="1"/>
  <c r="F258" i="2"/>
  <c r="G258" i="2" s="1"/>
  <c r="F257" i="2"/>
  <c r="G257" i="2" s="1"/>
  <c r="F256" i="2"/>
  <c r="G256" i="2" s="1"/>
  <c r="F255" i="2"/>
  <c r="G255" i="2" s="1"/>
  <c r="F254" i="2"/>
  <c r="G254" i="2" s="1"/>
  <c r="F253" i="2"/>
  <c r="G253" i="2" s="1"/>
  <c r="F252" i="2"/>
  <c r="G252" i="2" s="1"/>
  <c r="F251" i="2"/>
  <c r="G251" i="2" s="1"/>
  <c r="F250" i="2"/>
  <c r="G250" i="2" s="1"/>
  <c r="F249" i="2"/>
  <c r="G249" i="2" s="1"/>
  <c r="F248" i="2"/>
  <c r="G248" i="2" s="1"/>
  <c r="F247" i="2"/>
  <c r="G247" i="2" s="1"/>
  <c r="F246" i="2"/>
  <c r="G246" i="2" s="1"/>
  <c r="F245" i="2"/>
  <c r="G245" i="2" s="1"/>
  <c r="F244" i="2"/>
  <c r="G244" i="2" s="1"/>
  <c r="F243" i="2"/>
  <c r="G243" i="2" s="1"/>
  <c r="F242" i="2"/>
  <c r="G242" i="2" s="1"/>
  <c r="F241" i="2"/>
  <c r="G241" i="2" s="1"/>
  <c r="F240" i="2"/>
  <c r="G240" i="2" s="1"/>
  <c r="F239" i="2"/>
  <c r="G239" i="2" s="1"/>
  <c r="F238" i="2"/>
  <c r="G238" i="2" s="1"/>
  <c r="F237" i="2"/>
  <c r="G237" i="2" s="1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F226" i="2"/>
  <c r="G226" i="2" s="1"/>
  <c r="F225" i="2"/>
  <c r="G225" i="2" s="1"/>
  <c r="F224" i="2"/>
  <c r="G224" i="2" s="1"/>
  <c r="F223" i="2"/>
  <c r="G223" i="2" s="1"/>
  <c r="F222" i="2"/>
  <c r="G222" i="2" s="1"/>
  <c r="F221" i="2"/>
  <c r="G221" i="2" s="1"/>
  <c r="F220" i="2"/>
  <c r="G220" i="2" s="1"/>
  <c r="F219" i="2"/>
  <c r="G219" i="2" s="1"/>
  <c r="F218" i="2"/>
  <c r="G218" i="2" s="1"/>
  <c r="F217" i="2"/>
  <c r="G217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F205" i="2"/>
  <c r="G205" i="2" s="1"/>
  <c r="F204" i="2"/>
  <c r="G204" i="2" s="1"/>
  <c r="F203" i="2"/>
  <c r="G203" i="2" s="1"/>
  <c r="F202" i="2"/>
  <c r="G202" i="2" s="1"/>
  <c r="F201" i="2"/>
  <c r="G201" i="2" s="1"/>
  <c r="F200" i="2"/>
  <c r="G200" i="2" s="1"/>
  <c r="F199" i="2"/>
  <c r="G199" i="2" s="1"/>
  <c r="F198" i="2"/>
  <c r="G198" i="2" s="1"/>
  <c r="F197" i="2"/>
  <c r="G197" i="2" s="1"/>
  <c r="F196" i="2"/>
  <c r="G196" i="2" s="1"/>
  <c r="F195" i="2"/>
  <c r="G195" i="2" s="1"/>
  <c r="F194" i="2"/>
  <c r="G194" i="2" s="1"/>
  <c r="F193" i="2"/>
  <c r="G193" i="2" s="1"/>
  <c r="F192" i="2"/>
  <c r="G192" i="2" s="1"/>
  <c r="F191" i="2"/>
  <c r="G191" i="2" s="1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G184" i="2"/>
  <c r="F184" i="2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G176" i="2"/>
  <c r="F176" i="2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G168" i="2"/>
  <c r="F168" i="2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G152" i="2"/>
  <c r="F152" i="2"/>
  <c r="F151" i="2"/>
  <c r="G151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G144" i="2"/>
  <c r="F144" i="2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7" i="2"/>
  <c r="G137" i="2" s="1"/>
  <c r="G136" i="2"/>
  <c r="F136" i="2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6" i="2"/>
  <c r="G126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5" i="2"/>
  <c r="G105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G56" i="2"/>
  <c r="F56" i="2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G48" i="2"/>
  <c r="F48" i="2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G40" i="2"/>
  <c r="F40" i="2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G24" i="2"/>
  <c r="F24" i="2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G16" i="2"/>
  <c r="F16" i="2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G8" i="2"/>
  <c r="F8" i="2"/>
  <c r="F7" i="2"/>
  <c r="G7" i="2" s="1"/>
  <c r="F6" i="2"/>
  <c r="G6" i="2" s="1"/>
  <c r="F5" i="2"/>
  <c r="G5" i="2" s="1"/>
  <c r="F4" i="2"/>
  <c r="G4" i="2" s="1"/>
  <c r="F3" i="2"/>
  <c r="G3" i="2" s="1"/>
  <c r="F2" i="2"/>
  <c r="G2" i="2" s="1"/>
  <c r="B19" i="5" l="1"/>
  <c r="B15" i="5"/>
  <c r="K1" i="2"/>
  <c r="B29" i="5" l="1"/>
  <c r="B28" i="5"/>
  <c r="B16" i="5"/>
  <c r="B21" i="5" s="1"/>
  <c r="B30" i="5" l="1"/>
  <c r="B23" i="5"/>
  <c r="B22" i="5"/>
</calcChain>
</file>

<file path=xl/sharedStrings.xml><?xml version="1.0" encoding="utf-8"?>
<sst xmlns="http://schemas.openxmlformats.org/spreadsheetml/2006/main" count="96" uniqueCount="83">
  <si>
    <t>PRODUCT DESCRIPTION</t>
  </si>
  <si>
    <t>SUPPLIER</t>
  </si>
  <si>
    <t>QTY NEEDED</t>
  </si>
  <si>
    <t>QTY IN BOX</t>
  </si>
  <si>
    <t>PRICE PER BOX</t>
  </si>
  <si>
    <t>QTY OF BOXES TO ORDER</t>
  </si>
  <si>
    <t>TOTAL PRICE</t>
  </si>
  <si>
    <t xml:space="preserve">NOTES </t>
  </si>
  <si>
    <t>ORDER LINK</t>
  </si>
  <si>
    <t>Inputs</t>
  </si>
  <si>
    <t>Parameter</t>
  </si>
  <si>
    <t>Value</t>
  </si>
  <si>
    <t>Notes</t>
  </si>
  <si>
    <t>Bolt Proof Strength [Pa]</t>
  </si>
  <si>
    <t>Class 4.8 - 310 MPa
Class 5.8 - 380 MPa
Class 8.8 - 600 Mpa
Class 10.9 - 830 Mpa
Class 12.9 - 12.9 Mpa</t>
  </si>
  <si>
    <t>6 mini</t>
  </si>
  <si>
    <t>Preload % of proof strength [%]</t>
  </si>
  <si>
    <t>75% for removeable bolts
90% for permanent connection</t>
  </si>
  <si>
    <t>Bolt Major Diameter [m]</t>
  </si>
  <si>
    <t>M5</t>
  </si>
  <si>
    <t xml:space="preserve"> </t>
  </si>
  <si>
    <t>Bolt Minor Diameter [m]</t>
  </si>
  <si>
    <t>pitch, l, [m]</t>
  </si>
  <si>
    <t>Diameter of collar, dc [m]</t>
  </si>
  <si>
    <t>Coefficient of friction, f</t>
  </si>
  <si>
    <t>average 0.15
Engr toolbox - steel/steel - greased - 0.16
clean and dry - steel/steel - 0.5/0.8</t>
  </si>
  <si>
    <t>Thread friction</t>
  </si>
  <si>
    <t>Coefficient of friction, fc</t>
  </si>
  <si>
    <t>collar friction</t>
  </si>
  <si>
    <t>Outputs</t>
  </si>
  <si>
    <t>Bolt Min Area [m^2]</t>
  </si>
  <si>
    <t>Prelaod force, per bolt [N]</t>
  </si>
  <si>
    <t>Avg major min, D_m [m]</t>
  </si>
  <si>
    <t>thread angle, alpha, [deg]</t>
  </si>
  <si>
    <t>thread angle for metric screws is 2*alpha=60deg</t>
  </si>
  <si>
    <t>Term A [/]</t>
  </si>
  <si>
    <t>Term B[/]</t>
  </si>
  <si>
    <t>Torque req'd for preload % [Nm]</t>
  </si>
  <si>
    <t>Torque req'd for preload % [lbs*in]</t>
  </si>
  <si>
    <t>Torque req'd for preload % [ft*lbs]</t>
  </si>
  <si>
    <t>Reference Information</t>
  </si>
  <si>
    <t>Force Req'd for failure [N]</t>
  </si>
  <si>
    <t>Tension force due to preload [N]</t>
  </si>
  <si>
    <t>Available loading force [N]</t>
  </si>
  <si>
    <t>Thread Size</t>
  </si>
  <si>
    <t>Major Diameter (mm)</t>
  </si>
  <si>
    <t>Minor Diameter (mm)</t>
  </si>
  <si>
    <t>Thread Pitch (mm)</t>
  </si>
  <si>
    <t>Pitch</t>
  </si>
  <si>
    <t>Tapping</t>
  </si>
  <si>
    <t>Clearance</t>
  </si>
  <si>
    <t>Diameter</t>
  </si>
  <si>
    <t>Drill Diameter</t>
  </si>
  <si>
    <t>Hole Diameter</t>
  </si>
  <si>
    <t>(mm)</t>
  </si>
  <si>
    <t>M1</t>
  </si>
  <si>
    <t>M1.1</t>
  </si>
  <si>
    <t>M1.2</t>
  </si>
  <si>
    <t>M1.4</t>
  </si>
  <si>
    <t>M1.6</t>
  </si>
  <si>
    <t>M1.8</t>
  </si>
  <si>
    <t>M2</t>
  </si>
  <si>
    <t>M2.2</t>
  </si>
  <si>
    <t>M2.5</t>
  </si>
  <si>
    <t>M3</t>
  </si>
  <si>
    <t>M3.5</t>
  </si>
  <si>
    <t>M4</t>
  </si>
  <si>
    <t>M4.5</t>
  </si>
  <si>
    <t>M6</t>
  </si>
  <si>
    <t>M7</t>
  </si>
  <si>
    <t>M8</t>
  </si>
  <si>
    <t>M9</t>
  </si>
  <si>
    <t>M10</t>
  </si>
  <si>
    <t>M11</t>
  </si>
  <si>
    <t>M12</t>
  </si>
  <si>
    <t>M14</t>
  </si>
  <si>
    <t>M16</t>
  </si>
  <si>
    <t>M18</t>
  </si>
  <si>
    <t>M20</t>
  </si>
  <si>
    <t>M22</t>
  </si>
  <si>
    <t>M24</t>
  </si>
  <si>
    <t>M27</t>
  </si>
  <si>
    <t>M30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</si>
</sst>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##0.000E+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74151"/>
      <name val="Calibri"/>
      <family val="2"/>
      <scheme val="minor"/>
    </font>
    <font>
      <sz val="14"/>
      <color rgb="FF21252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3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7EB"/>
      </left>
      <right style="medium">
        <color rgb="FFE5E7EB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2" applyFont="1" applyBorder="1"/>
    <xf numFmtId="0" fontId="4" fillId="0" borderId="1" xfId="3" applyBorder="1"/>
    <xf numFmtId="0" fontId="2" fillId="0" borderId="1" xfId="0" applyFont="1" applyBorder="1"/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8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9" fontId="0" fillId="3" borderId="1" xfId="1" applyFon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11" fontId="0" fillId="0" borderId="0" xfId="0" applyNumberFormat="1" applyAlignment="1">
      <alignment vertical="center"/>
    </xf>
    <xf numFmtId="48" fontId="0" fillId="0" borderId="1" xfId="1" applyNumberFormat="1" applyFont="1" applyFill="1" applyBorder="1" applyAlignment="1">
      <alignment vertical="center"/>
    </xf>
    <xf numFmtId="11" fontId="0" fillId="0" borderId="1" xfId="0" applyNumberFormat="1" applyBorder="1" applyAlignment="1">
      <alignment vertical="center"/>
    </xf>
    <xf numFmtId="48" fontId="0" fillId="0" borderId="1" xfId="0" applyNumberFormat="1" applyBorder="1" applyAlignment="1">
      <alignment vertical="center"/>
    </xf>
    <xf numFmtId="0" fontId="0" fillId="4" borderId="1" xfId="0" applyFill="1" applyBorder="1" applyAlignment="1">
      <alignment horizontal="right" vertical="center"/>
    </xf>
    <xf numFmtId="48" fontId="0" fillId="4" borderId="1" xfId="0" applyNumberForma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</cellXfs>
  <cellStyles count="4">
    <cellStyle name="Currency 2" xfId="2" xr:uid="{BA90060C-CA79-4CCE-B047-096DCEB13929}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409574</xdr:colOff>
      <xdr:row>2</xdr:row>
      <xdr:rowOff>502209</xdr:rowOff>
    </xdr:from>
    <xdr:to>
      <xdr:col>9</xdr:col>
      <xdr:colOff>484702</xdr:colOff>
      <xdr:row>13</xdr:row>
      <xdr:rowOff>91711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82201C-B607-4CFC-B46E-889696EB4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199" y="883209"/>
          <a:ext cx="3323153" cy="3399502"/>
        </a:xfrm>
        <a:prstGeom prst="rect">
          <a:avLst/>
        </a:prstGeom>
      </xdr:spPr>
    </xdr:pic>
    <xdr:clientData/>
  </xdr:twoCellAnchor>
  <xdr:twoCellAnchor editAs="oneCell">
    <xdr:from>
      <xdr:col>4</xdr:col>
      <xdr:colOff>326459</xdr:colOff>
      <xdr:row>14</xdr:row>
      <xdr:rowOff>171450</xdr:rowOff>
    </xdr:from>
    <xdr:to>
      <xdr:col>9</xdr:col>
      <xdr:colOff>434125</xdr:colOff>
      <xdr:row>20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95427C-A58F-48E4-9D08-E0DA08C42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56084" y="4552950"/>
          <a:ext cx="3355691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988B-F7E7-468D-98CC-6ED2FB2AA501}">
  <dimension ref="A1:M30"/>
  <sheetViews>
    <sheetView topLeftCell="A9" workbookViewId="0">
      <selection activeCell="B30" sqref="B30"/>
    </sheetView>
  </sheetViews>
  <sheetFormatPr defaultColWidth="9.140625" defaultRowHeight="15" x14ac:dyDescent="0.25"/>
  <cols>
    <col min="1" max="1" width="49.7109375" style="8" bestFit="1" customWidth="1"/>
    <col min="2" max="2" width="18.28515625" style="8" bestFit="1" customWidth="1"/>
    <col min="3" max="3" width="44.28515625" style="8" bestFit="1" customWidth="1"/>
    <col min="4" max="4" width="14.140625" style="8" bestFit="1" customWidth="1"/>
    <col min="5" max="5" width="12.140625" style="8" bestFit="1" customWidth="1"/>
    <col min="6" max="16384" width="9.140625" style="8"/>
  </cols>
  <sheetData>
    <row r="1" spans="1:13" x14ac:dyDescent="0.25">
      <c r="A1" s="26" t="s">
        <v>9</v>
      </c>
      <c r="B1" s="26"/>
      <c r="C1" s="26"/>
      <c r="D1" s="7"/>
    </row>
    <row r="2" spans="1:13" x14ac:dyDescent="0.25">
      <c r="A2" s="9" t="s">
        <v>10</v>
      </c>
      <c r="B2" s="9" t="s">
        <v>11</v>
      </c>
      <c r="C2" s="9" t="s">
        <v>12</v>
      </c>
      <c r="D2" s="9" t="s">
        <v>12</v>
      </c>
    </row>
    <row r="3" spans="1:13" ht="75" x14ac:dyDescent="0.25">
      <c r="A3" s="10" t="s">
        <v>13</v>
      </c>
      <c r="B3" s="11">
        <v>600000000</v>
      </c>
      <c r="C3" s="12" t="s">
        <v>14</v>
      </c>
      <c r="D3" s="10"/>
      <c r="M3" s="8" t="s">
        <v>15</v>
      </c>
    </row>
    <row r="4" spans="1:13" ht="30" x14ac:dyDescent="0.25">
      <c r="A4" s="10" t="s">
        <v>16</v>
      </c>
      <c r="B4" s="13">
        <v>0.75</v>
      </c>
      <c r="C4" s="12" t="s">
        <v>17</v>
      </c>
      <c r="D4" s="10"/>
    </row>
    <row r="5" spans="1:13" x14ac:dyDescent="0.25">
      <c r="A5" s="10" t="s">
        <v>18</v>
      </c>
      <c r="B5" s="11" t="s">
        <v>68</v>
      </c>
      <c r="C5" s="10"/>
      <c r="D5" s="10"/>
      <c r="F5" s="8" t="s">
        <v>20</v>
      </c>
    </row>
    <row r="6" spans="1:13" x14ac:dyDescent="0.25">
      <c r="A6" s="10" t="s">
        <v>21</v>
      </c>
      <c r="B6" s="14">
        <f>_xlfn.XLOOKUP(B5,'Metric Bolt Data 4 bolt calc'!A:A,'Metric Bolt Data 4 bolt calc'!C:C,"NOT FOUND")/1000</f>
        <v>4.9169999999999995E-3</v>
      </c>
      <c r="C6" s="10"/>
      <c r="D6" s="10"/>
    </row>
    <row r="7" spans="1:13" x14ac:dyDescent="0.25">
      <c r="A7" s="10" t="s">
        <v>22</v>
      </c>
      <c r="B7" s="14">
        <f>_xlfn.XLOOKUP(B5,'Metric Bolt Data 4 bolt calc'!A:A,'Metric Bolt Data 4 bolt calc'!D:D,"NOT FOUND")/1000</f>
        <v>1E-3</v>
      </c>
      <c r="C7" s="10"/>
      <c r="D7" s="10"/>
    </row>
    <row r="8" spans="1:13" x14ac:dyDescent="0.25">
      <c r="A8" s="10" t="s">
        <v>23</v>
      </c>
      <c r="B8" s="11">
        <v>6.0000000000000001E-3</v>
      </c>
      <c r="C8" s="10"/>
      <c r="D8" s="10"/>
    </row>
    <row r="9" spans="1:13" ht="45" x14ac:dyDescent="0.25">
      <c r="A9" s="10" t="s">
        <v>24</v>
      </c>
      <c r="B9" s="15">
        <v>0.15</v>
      </c>
      <c r="C9" s="12" t="s">
        <v>25</v>
      </c>
      <c r="D9" s="10" t="s">
        <v>26</v>
      </c>
    </row>
    <row r="10" spans="1:13" ht="45" x14ac:dyDescent="0.25">
      <c r="A10" s="10" t="s">
        <v>27</v>
      </c>
      <c r="B10" s="15">
        <v>0.15</v>
      </c>
      <c r="C10" s="12" t="s">
        <v>25</v>
      </c>
      <c r="D10" s="10" t="s">
        <v>28</v>
      </c>
    </row>
    <row r="11" spans="1:13" x14ac:dyDescent="0.25">
      <c r="B11" s="16"/>
    </row>
    <row r="12" spans="1:13" x14ac:dyDescent="0.25">
      <c r="B12" s="16"/>
    </row>
    <row r="13" spans="1:13" x14ac:dyDescent="0.25">
      <c r="A13" s="27" t="s">
        <v>29</v>
      </c>
      <c r="B13" s="27"/>
      <c r="C13" s="27"/>
      <c r="D13" s="27"/>
    </row>
    <row r="14" spans="1:13" x14ac:dyDescent="0.25">
      <c r="A14" s="9" t="s">
        <v>10</v>
      </c>
      <c r="B14" s="9" t="s">
        <v>11</v>
      </c>
      <c r="C14" s="9" t="s">
        <v>12</v>
      </c>
      <c r="D14" s="9" t="s">
        <v>12</v>
      </c>
    </row>
    <row r="15" spans="1:13" x14ac:dyDescent="0.25">
      <c r="A15" s="10" t="s">
        <v>30</v>
      </c>
      <c r="B15" s="17">
        <f>(PI()*B6^2)/4</f>
        <v>1.8988484217263967E-5</v>
      </c>
      <c r="C15" s="12"/>
      <c r="D15" s="10"/>
    </row>
    <row r="16" spans="1:13" x14ac:dyDescent="0.25">
      <c r="A16" s="10" t="s">
        <v>31</v>
      </c>
      <c r="B16" s="18">
        <f>B3*B4*B15</f>
        <v>8544.8178977687858</v>
      </c>
      <c r="C16" s="12"/>
      <c r="D16" s="10"/>
    </row>
    <row r="17" spans="1:4" x14ac:dyDescent="0.25">
      <c r="A17" s="10" t="s">
        <v>32</v>
      </c>
      <c r="B17" s="18">
        <f>AVERAGE(B5:B6)</f>
        <v>4.9169999999999995E-3</v>
      </c>
      <c r="C17" s="10"/>
      <c r="D17" s="10"/>
    </row>
    <row r="18" spans="1:4" x14ac:dyDescent="0.25">
      <c r="A18" s="10" t="s">
        <v>33</v>
      </c>
      <c r="B18" s="10">
        <v>30</v>
      </c>
      <c r="C18" s="10" t="s">
        <v>34</v>
      </c>
      <c r="D18" s="10"/>
    </row>
    <row r="19" spans="1:4" x14ac:dyDescent="0.25">
      <c r="A19" s="10" t="s">
        <v>35</v>
      </c>
      <c r="B19" s="19">
        <f>(B7+PI()*B9*B17*_xlfn.SEC(RADIANS(B18)))/(PI()*B17-B9*B7*_xlfn.SEC(RADIANS(B18)))</f>
        <v>0.24063991089942352</v>
      </c>
      <c r="C19" s="10"/>
      <c r="D19" s="10"/>
    </row>
    <row r="20" spans="1:4" x14ac:dyDescent="0.25">
      <c r="A20" s="10" t="s">
        <v>36</v>
      </c>
      <c r="B20" s="19">
        <f>B10*B8/2</f>
        <v>4.4999999999999999E-4</v>
      </c>
      <c r="C20" s="10"/>
      <c r="D20" s="10"/>
    </row>
    <row r="21" spans="1:4" x14ac:dyDescent="0.25">
      <c r="A21" s="20" t="s">
        <v>37</v>
      </c>
      <c r="B21" s="21">
        <f>(B16*B17*B19/2)+(B16*B20)</f>
        <v>8.9003952928939611</v>
      </c>
      <c r="C21" s="10"/>
      <c r="D21" s="10"/>
    </row>
    <row r="22" spans="1:4" x14ac:dyDescent="0.25">
      <c r="A22" s="20" t="s">
        <v>38</v>
      </c>
      <c r="B22" s="21">
        <f>B21*8.85075</f>
        <v>78.775173638581222</v>
      </c>
      <c r="C22" s="10"/>
      <c r="D22" s="10"/>
    </row>
    <row r="23" spans="1:4" x14ac:dyDescent="0.25">
      <c r="A23" s="20" t="s">
        <v>39</v>
      </c>
      <c r="B23" s="21">
        <f>B21*0.7376</f>
        <v>6.5649315680385865</v>
      </c>
      <c r="C23" s="10"/>
      <c r="D23" s="10"/>
    </row>
    <row r="26" spans="1:4" x14ac:dyDescent="0.25">
      <c r="A26" s="27" t="s">
        <v>40</v>
      </c>
      <c r="B26" s="27"/>
      <c r="C26" s="27"/>
      <c r="D26" s="27"/>
    </row>
    <row r="27" spans="1:4" x14ac:dyDescent="0.25">
      <c r="A27" s="9" t="s">
        <v>10</v>
      </c>
      <c r="B27" s="9" t="s">
        <v>11</v>
      </c>
      <c r="C27" s="9" t="s">
        <v>12</v>
      </c>
      <c r="D27" s="9" t="s">
        <v>12</v>
      </c>
    </row>
    <row r="28" spans="1:4" x14ac:dyDescent="0.25">
      <c r="A28" s="10" t="s">
        <v>41</v>
      </c>
      <c r="B28" s="19">
        <f>B3*B15</f>
        <v>11393.09053035838</v>
      </c>
      <c r="C28" s="10"/>
      <c r="D28" s="10"/>
    </row>
    <row r="29" spans="1:4" x14ac:dyDescent="0.25">
      <c r="A29" s="10" t="s">
        <v>42</v>
      </c>
      <c r="B29" s="19">
        <f>B3*B4*B15</f>
        <v>8544.8178977687858</v>
      </c>
      <c r="C29" s="10"/>
      <c r="D29" s="10"/>
    </row>
    <row r="30" spans="1:4" x14ac:dyDescent="0.25">
      <c r="A30" s="10" t="s">
        <v>43</v>
      </c>
      <c r="B30" s="19">
        <f>B28-B29</f>
        <v>2848.2726325895947</v>
      </c>
      <c r="C30" s="10"/>
      <c r="D30" s="10"/>
    </row>
  </sheetData>
  <mergeCells count="3">
    <mergeCell ref="A1:C1"/>
    <mergeCell ref="A13:D13"/>
    <mergeCell ref="A26:D2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647D98-BA66-4C8D-8F84-1E9CF20DFFFB}">
          <x14:formula1>
            <xm:f>'Metric Bolt Data 4 bolt calc'!$A4:$A32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C7E4-DF52-425B-A83B-8E9681001ADF}">
  <dimension ref="A1:G32"/>
  <sheetViews>
    <sheetView workbookViewId="0">
      <selection activeCell="A4" sqref="A4:G25"/>
    </sheetView>
  </sheetViews>
  <sheetFormatPr defaultColWidth="9.140625" defaultRowHeight="18.75" x14ac:dyDescent="0.25"/>
  <cols>
    <col min="1" max="1" width="16" style="23" bestFit="1" customWidth="1"/>
    <col min="2" max="2" width="13.7109375" style="23" customWidth="1"/>
    <col min="3" max="3" width="27.140625" style="23" bestFit="1" customWidth="1"/>
    <col min="4" max="4" width="24" style="23" bestFit="1" customWidth="1"/>
    <col min="5" max="5" width="12.28515625" style="23" bestFit="1" customWidth="1"/>
    <col min="6" max="6" width="17.85546875" style="23" bestFit="1" customWidth="1"/>
    <col min="7" max="7" width="18.85546875" style="23" bestFit="1" customWidth="1"/>
    <col min="8" max="16384" width="9.140625" style="23"/>
  </cols>
  <sheetData>
    <row r="1" spans="1:7" x14ac:dyDescent="0.25">
      <c r="A1" s="28" t="s">
        <v>44</v>
      </c>
      <c r="B1" s="28" t="s">
        <v>45</v>
      </c>
      <c r="C1" s="28" t="s">
        <v>46</v>
      </c>
      <c r="D1" s="28" t="s">
        <v>47</v>
      </c>
      <c r="E1" s="22" t="s">
        <v>48</v>
      </c>
      <c r="F1" s="22" t="s">
        <v>49</v>
      </c>
      <c r="G1" s="22" t="s">
        <v>50</v>
      </c>
    </row>
    <row r="2" spans="1:7" x14ac:dyDescent="0.25">
      <c r="A2" s="28"/>
      <c r="B2" s="28"/>
      <c r="C2" s="28"/>
      <c r="D2" s="28"/>
      <c r="E2" s="22" t="s">
        <v>51</v>
      </c>
      <c r="F2" s="22" t="s">
        <v>52</v>
      </c>
      <c r="G2" s="22" t="s">
        <v>53</v>
      </c>
    </row>
    <row r="3" spans="1:7" x14ac:dyDescent="0.25">
      <c r="A3" s="28"/>
      <c r="B3" s="28"/>
      <c r="C3" s="28"/>
      <c r="D3" s="28"/>
      <c r="E3" s="22" t="s">
        <v>54</v>
      </c>
      <c r="F3" s="22" t="s">
        <v>54</v>
      </c>
      <c r="G3" s="22" t="s">
        <v>54</v>
      </c>
    </row>
    <row r="4" spans="1:7" x14ac:dyDescent="0.25">
      <c r="A4" s="24" t="s">
        <v>55</v>
      </c>
      <c r="B4" s="24">
        <v>1</v>
      </c>
      <c r="C4" s="24">
        <v>0.72899999999999998</v>
      </c>
      <c r="D4" s="24">
        <v>0.25</v>
      </c>
      <c r="E4" s="24">
        <v>0.83799999999999997</v>
      </c>
      <c r="F4" s="24">
        <v>0.75</v>
      </c>
      <c r="G4" s="24">
        <v>1.3</v>
      </c>
    </row>
    <row r="5" spans="1:7" x14ac:dyDescent="0.25">
      <c r="A5" s="25" t="s">
        <v>56</v>
      </c>
      <c r="B5" s="25">
        <v>1.1000000000000001</v>
      </c>
      <c r="C5" s="25">
        <v>0.82899999999999996</v>
      </c>
      <c r="D5" s="25">
        <v>0.25</v>
      </c>
      <c r="E5" s="25">
        <v>0.93799999999999994</v>
      </c>
      <c r="F5" s="25">
        <v>0.85</v>
      </c>
      <c r="G5" s="25">
        <v>1.4</v>
      </c>
    </row>
    <row r="6" spans="1:7" x14ac:dyDescent="0.25">
      <c r="A6" s="24" t="s">
        <v>57</v>
      </c>
      <c r="B6" s="24">
        <v>1.2</v>
      </c>
      <c r="C6" s="24">
        <v>0.92900000000000005</v>
      </c>
      <c r="D6" s="24">
        <v>0.25</v>
      </c>
      <c r="E6" s="24">
        <v>1.038</v>
      </c>
      <c r="F6" s="24">
        <v>0.95</v>
      </c>
      <c r="G6" s="24">
        <v>1.5</v>
      </c>
    </row>
    <row r="7" spans="1:7" x14ac:dyDescent="0.25">
      <c r="A7" s="25" t="s">
        <v>58</v>
      </c>
      <c r="B7" s="25">
        <v>1.4</v>
      </c>
      <c r="C7" s="25">
        <v>1.075</v>
      </c>
      <c r="D7" s="25">
        <v>0.3</v>
      </c>
      <c r="E7" s="25">
        <v>1.2050000000000001</v>
      </c>
      <c r="F7" s="25">
        <v>1.1000000000000001</v>
      </c>
      <c r="G7" s="25">
        <v>1.8</v>
      </c>
    </row>
    <row r="8" spans="1:7" x14ac:dyDescent="0.25">
      <c r="A8" s="24" t="s">
        <v>59</v>
      </c>
      <c r="B8" s="24">
        <v>1.6</v>
      </c>
      <c r="C8" s="24">
        <v>1.2210000000000001</v>
      </c>
      <c r="D8" s="24">
        <v>0.35</v>
      </c>
      <c r="E8" s="24">
        <v>1.373</v>
      </c>
      <c r="F8" s="24">
        <v>1.25</v>
      </c>
      <c r="G8" s="24">
        <v>2</v>
      </c>
    </row>
    <row r="9" spans="1:7" x14ac:dyDescent="0.25">
      <c r="A9" s="25" t="s">
        <v>60</v>
      </c>
      <c r="B9" s="25">
        <v>1.8</v>
      </c>
      <c r="C9" s="25">
        <v>1.421</v>
      </c>
      <c r="D9" s="25">
        <v>0.35</v>
      </c>
      <c r="E9" s="25">
        <v>1.573</v>
      </c>
      <c r="F9" s="25">
        <v>1.45</v>
      </c>
      <c r="G9" s="25">
        <v>2.2999999999999998</v>
      </c>
    </row>
    <row r="10" spans="1:7" x14ac:dyDescent="0.25">
      <c r="A10" s="23" t="s">
        <v>61</v>
      </c>
      <c r="B10" s="24">
        <v>2</v>
      </c>
      <c r="C10" s="24">
        <v>1.5669999999999999</v>
      </c>
      <c r="D10" s="24">
        <v>0.4</v>
      </c>
      <c r="E10" s="24">
        <v>1.74</v>
      </c>
      <c r="F10" s="24">
        <v>1.6</v>
      </c>
      <c r="G10" s="24">
        <v>2.6</v>
      </c>
    </row>
    <row r="11" spans="1:7" x14ac:dyDescent="0.25">
      <c r="A11" s="25" t="s">
        <v>62</v>
      </c>
      <c r="B11" s="25">
        <v>2.2000000000000002</v>
      </c>
      <c r="C11" s="25">
        <v>1.7130000000000001</v>
      </c>
      <c r="D11" s="25">
        <v>0.45</v>
      </c>
      <c r="E11" s="25">
        <v>1.9079999999999999</v>
      </c>
      <c r="F11" s="25">
        <v>1.75</v>
      </c>
      <c r="G11" s="25">
        <v>2.9</v>
      </c>
    </row>
    <row r="12" spans="1:7" x14ac:dyDescent="0.25">
      <c r="A12" s="23" t="s">
        <v>63</v>
      </c>
      <c r="B12" s="24">
        <v>2.5</v>
      </c>
      <c r="C12" s="24">
        <v>2.0129999999999999</v>
      </c>
      <c r="D12" s="24">
        <v>0.45</v>
      </c>
      <c r="E12" s="24">
        <v>2.2080000000000002</v>
      </c>
      <c r="F12" s="24">
        <v>2.0499999999999998</v>
      </c>
      <c r="G12" s="24">
        <v>3.1</v>
      </c>
    </row>
    <row r="13" spans="1:7" x14ac:dyDescent="0.25">
      <c r="A13" s="23" t="s">
        <v>64</v>
      </c>
      <c r="B13" s="25">
        <v>3</v>
      </c>
      <c r="C13" s="25">
        <v>2.4590000000000001</v>
      </c>
      <c r="D13" s="25">
        <v>0.5</v>
      </c>
      <c r="E13" s="25">
        <v>2.6749999999999998</v>
      </c>
      <c r="F13" s="25">
        <v>2.5</v>
      </c>
      <c r="G13" s="25">
        <v>3.6</v>
      </c>
    </row>
    <row r="14" spans="1:7" x14ac:dyDescent="0.25">
      <c r="A14" s="23" t="s">
        <v>65</v>
      </c>
      <c r="B14" s="24">
        <v>3.5</v>
      </c>
      <c r="C14" s="24">
        <v>2.85</v>
      </c>
      <c r="D14" s="24">
        <v>0.6</v>
      </c>
      <c r="E14" s="24">
        <v>3.11</v>
      </c>
      <c r="F14" s="24">
        <v>2.9</v>
      </c>
      <c r="G14" s="24">
        <v>4.2</v>
      </c>
    </row>
    <row r="15" spans="1:7" x14ac:dyDescent="0.25">
      <c r="A15" s="23" t="s">
        <v>66</v>
      </c>
      <c r="B15" s="25">
        <v>4</v>
      </c>
      <c r="C15" s="25">
        <v>3.242</v>
      </c>
      <c r="D15" s="25">
        <v>0.7</v>
      </c>
      <c r="E15" s="25">
        <v>3.5449999999999999</v>
      </c>
      <c r="F15" s="25">
        <v>3.3</v>
      </c>
      <c r="G15" s="25">
        <v>4.8</v>
      </c>
    </row>
    <row r="16" spans="1:7" x14ac:dyDescent="0.25">
      <c r="A16" s="24" t="s">
        <v>67</v>
      </c>
      <c r="B16" s="24">
        <v>4.5</v>
      </c>
      <c r="C16" s="24">
        <v>3.6880000000000002</v>
      </c>
      <c r="D16" s="24">
        <v>0.75</v>
      </c>
      <c r="E16" s="24">
        <v>4.0129999999999999</v>
      </c>
      <c r="F16" s="24">
        <v>3.8</v>
      </c>
      <c r="G16" s="24">
        <v>5.3</v>
      </c>
    </row>
    <row r="17" spans="1:7" x14ac:dyDescent="0.25">
      <c r="A17" s="23" t="s">
        <v>19</v>
      </c>
      <c r="B17" s="25">
        <v>5</v>
      </c>
      <c r="C17" s="25">
        <v>4.1340000000000003</v>
      </c>
      <c r="D17" s="25">
        <v>0.8</v>
      </c>
      <c r="E17" s="25">
        <v>4.4800000000000004</v>
      </c>
      <c r="F17" s="25">
        <v>4.2</v>
      </c>
      <c r="G17" s="25">
        <v>5.8</v>
      </c>
    </row>
    <row r="18" spans="1:7" x14ac:dyDescent="0.25">
      <c r="A18" s="23" t="s">
        <v>68</v>
      </c>
      <c r="B18" s="24">
        <v>6</v>
      </c>
      <c r="C18" s="24">
        <v>4.9169999999999998</v>
      </c>
      <c r="D18" s="24">
        <v>1</v>
      </c>
      <c r="E18" s="24">
        <v>5.35</v>
      </c>
      <c r="F18" s="24">
        <v>5</v>
      </c>
      <c r="G18" s="24">
        <v>7</v>
      </c>
    </row>
    <row r="19" spans="1:7" x14ac:dyDescent="0.25">
      <c r="A19" s="25" t="s">
        <v>69</v>
      </c>
      <c r="B19" s="25">
        <v>7</v>
      </c>
      <c r="C19" s="25">
        <v>5.9169999999999998</v>
      </c>
      <c r="D19" s="25">
        <v>1</v>
      </c>
      <c r="E19" s="25">
        <v>6.35</v>
      </c>
      <c r="F19" s="25">
        <v>6</v>
      </c>
      <c r="G19" s="25">
        <v>8</v>
      </c>
    </row>
    <row r="20" spans="1:7" x14ac:dyDescent="0.25">
      <c r="A20" s="23" t="s">
        <v>70</v>
      </c>
      <c r="B20" s="24">
        <v>8</v>
      </c>
      <c r="C20" s="24">
        <v>6.6470000000000002</v>
      </c>
      <c r="D20" s="24">
        <v>1.25</v>
      </c>
      <c r="E20" s="24">
        <v>7.1879999999999997</v>
      </c>
      <c r="F20" s="24">
        <v>6.8</v>
      </c>
      <c r="G20" s="24">
        <v>10</v>
      </c>
    </row>
    <row r="21" spans="1:7" x14ac:dyDescent="0.25">
      <c r="A21" s="25" t="s">
        <v>71</v>
      </c>
      <c r="B21" s="25">
        <v>9</v>
      </c>
      <c r="C21" s="25">
        <v>7.6470000000000002</v>
      </c>
      <c r="D21" s="25">
        <v>1.25</v>
      </c>
      <c r="E21" s="25">
        <v>8.1880000000000006</v>
      </c>
      <c r="F21" s="25">
        <v>7.8</v>
      </c>
      <c r="G21" s="25">
        <v>11</v>
      </c>
    </row>
    <row r="22" spans="1:7" x14ac:dyDescent="0.25">
      <c r="A22" s="23" t="s">
        <v>72</v>
      </c>
      <c r="B22" s="24">
        <v>10</v>
      </c>
      <c r="C22" s="24">
        <v>8.3759999999999994</v>
      </c>
      <c r="D22" s="24">
        <v>1.5</v>
      </c>
      <c r="E22" s="24">
        <v>9.0259999999999998</v>
      </c>
      <c r="F22" s="24">
        <v>8.5</v>
      </c>
      <c r="G22" s="24">
        <v>12</v>
      </c>
    </row>
    <row r="23" spans="1:7" x14ac:dyDescent="0.25">
      <c r="A23" s="25" t="s">
        <v>73</v>
      </c>
      <c r="B23" s="25">
        <v>11</v>
      </c>
      <c r="C23" s="25">
        <v>9.3759999999999994</v>
      </c>
      <c r="D23" s="25">
        <v>1.5</v>
      </c>
      <c r="E23" s="25">
        <v>10.026</v>
      </c>
      <c r="F23" s="25">
        <v>9.5</v>
      </c>
      <c r="G23" s="25">
        <v>13.5</v>
      </c>
    </row>
    <row r="24" spans="1:7" x14ac:dyDescent="0.25">
      <c r="A24" s="23" t="s">
        <v>74</v>
      </c>
      <c r="B24" s="24">
        <v>12</v>
      </c>
      <c r="C24" s="24">
        <v>10.106</v>
      </c>
      <c r="D24" s="24">
        <v>1.75</v>
      </c>
      <c r="E24" s="24">
        <v>10.863</v>
      </c>
      <c r="F24" s="24">
        <v>10.199999999999999</v>
      </c>
      <c r="G24" s="24">
        <v>15</v>
      </c>
    </row>
    <row r="25" spans="1:7" x14ac:dyDescent="0.25">
      <c r="A25" s="23" t="s">
        <v>75</v>
      </c>
      <c r="B25" s="25">
        <v>14</v>
      </c>
      <c r="C25" s="25">
        <v>11.835000000000001</v>
      </c>
      <c r="D25" s="25">
        <v>2</v>
      </c>
      <c r="E25" s="25">
        <v>12.701000000000001</v>
      </c>
      <c r="F25" s="25">
        <v>12</v>
      </c>
      <c r="G25" s="25">
        <v>17</v>
      </c>
    </row>
    <row r="26" spans="1:7" x14ac:dyDescent="0.25">
      <c r="A26" s="23" t="s">
        <v>76</v>
      </c>
      <c r="B26" s="24">
        <v>16</v>
      </c>
      <c r="C26" s="24">
        <v>13.835000000000001</v>
      </c>
      <c r="D26" s="24">
        <v>2</v>
      </c>
      <c r="E26" s="24">
        <v>14.701000000000001</v>
      </c>
      <c r="F26" s="24">
        <v>14</v>
      </c>
      <c r="G26" s="24">
        <v>19</v>
      </c>
    </row>
    <row r="27" spans="1:7" x14ac:dyDescent="0.25">
      <c r="A27" s="25" t="s">
        <v>77</v>
      </c>
      <c r="B27" s="25">
        <v>18</v>
      </c>
      <c r="C27" s="25">
        <v>15.394</v>
      </c>
      <c r="D27" s="25">
        <v>2.5</v>
      </c>
      <c r="E27" s="25">
        <v>16.376000000000001</v>
      </c>
      <c r="F27" s="25">
        <v>15.5</v>
      </c>
      <c r="G27" s="25">
        <v>22</v>
      </c>
    </row>
    <row r="28" spans="1:7" x14ac:dyDescent="0.25">
      <c r="A28" s="24" t="s">
        <v>78</v>
      </c>
      <c r="B28" s="24">
        <v>20</v>
      </c>
      <c r="C28" s="24">
        <v>17.294</v>
      </c>
      <c r="D28" s="24">
        <v>2.5</v>
      </c>
      <c r="E28" s="24">
        <v>18.376000000000001</v>
      </c>
      <c r="F28" s="24">
        <v>17.5</v>
      </c>
      <c r="G28" s="24">
        <v>24</v>
      </c>
    </row>
    <row r="29" spans="1:7" x14ac:dyDescent="0.25">
      <c r="A29" s="25" t="s">
        <v>79</v>
      </c>
      <c r="B29" s="25">
        <v>22</v>
      </c>
      <c r="C29" s="25">
        <v>19.294</v>
      </c>
      <c r="D29" s="25">
        <v>2.5</v>
      </c>
      <c r="E29" s="25">
        <v>20.376000000000001</v>
      </c>
      <c r="F29" s="25">
        <v>19.5</v>
      </c>
      <c r="G29" s="25">
        <v>26</v>
      </c>
    </row>
    <row r="30" spans="1:7" x14ac:dyDescent="0.25">
      <c r="A30" s="24" t="s">
        <v>80</v>
      </c>
      <c r="B30" s="24">
        <v>24</v>
      </c>
      <c r="C30" s="24">
        <v>20.751999999999999</v>
      </c>
      <c r="D30" s="24">
        <v>3</v>
      </c>
      <c r="E30" s="24">
        <v>22.050999999999998</v>
      </c>
      <c r="F30" s="24">
        <v>21</v>
      </c>
      <c r="G30" s="24">
        <v>28</v>
      </c>
    </row>
    <row r="31" spans="1:7" x14ac:dyDescent="0.25">
      <c r="A31" s="25" t="s">
        <v>81</v>
      </c>
      <c r="B31" s="25">
        <v>27</v>
      </c>
      <c r="C31" s="25">
        <v>23.751999999999999</v>
      </c>
      <c r="D31" s="25">
        <v>3</v>
      </c>
      <c r="E31" s="25">
        <v>25.050999999999998</v>
      </c>
      <c r="F31" s="25">
        <v>24</v>
      </c>
      <c r="G31" s="25">
        <v>33</v>
      </c>
    </row>
    <row r="32" spans="1:7" x14ac:dyDescent="0.25">
      <c r="A32" s="24" t="s">
        <v>82</v>
      </c>
      <c r="B32" s="24">
        <v>30</v>
      </c>
      <c r="C32" s="24">
        <v>26.210999999999999</v>
      </c>
      <c r="D32" s="24">
        <v>3.5</v>
      </c>
      <c r="E32" s="24">
        <v>27.727</v>
      </c>
      <c r="F32" s="24">
        <v>26.5</v>
      </c>
      <c r="G32" s="24">
        <v>35</v>
      </c>
    </row>
  </sheetData>
  <mergeCells count="4">
    <mergeCell ref="A1:A3"/>
    <mergeCell ref="B1:B3"/>
    <mergeCell ref="C1:C3"/>
    <mergeCell ref="D1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55C1-566B-4464-AA87-521A866E3927}">
  <dimension ref="A1:K635"/>
  <sheetViews>
    <sheetView tabSelected="1" zoomScaleNormal="100" workbookViewId="0">
      <selection activeCell="D17" sqref="D17"/>
    </sheetView>
  </sheetViews>
  <sheetFormatPr defaultRowHeight="15" x14ac:dyDescent="0.25"/>
  <cols>
    <col min="1" max="1" width="44.28515625" style="3" customWidth="1"/>
    <col min="2" max="2" width="11.85546875" style="3" bestFit="1" customWidth="1"/>
    <col min="3" max="3" width="15.7109375" style="3" bestFit="1" customWidth="1"/>
    <col min="4" max="4" width="14.5703125" style="3" bestFit="1" customWidth="1"/>
    <col min="5" max="5" width="18.28515625" style="4" bestFit="1" customWidth="1"/>
    <col min="6" max="6" width="18.85546875" style="3" customWidth="1"/>
    <col min="7" max="7" width="15.7109375" style="4" bestFit="1" customWidth="1"/>
    <col min="8" max="8" width="9.42578125" style="3" bestFit="1" customWidth="1"/>
    <col min="9" max="9" width="57" style="3" customWidth="1"/>
    <col min="11" max="12" width="25.85546875" bestFit="1" customWidth="1"/>
  </cols>
  <sheetData>
    <row r="1" spans="1:11" ht="37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K1" s="1" t="str">
        <f>"TOTAL PRICE: $ " &amp; SUMIF(G2:G1000,"&lt;&gt;#DIV/0!")</f>
        <v>TOTAL PRICE: $ 0</v>
      </c>
    </row>
    <row r="2" spans="1:11" x14ac:dyDescent="0.25">
      <c r="F2" s="3" t="e">
        <f>ROUNDUP((C2)/D2,0)</f>
        <v>#DIV/0!</v>
      </c>
      <c r="G2" s="4" t="e">
        <f>F2*E2</f>
        <v>#DIV/0!</v>
      </c>
      <c r="I2" s="5"/>
    </row>
    <row r="3" spans="1:11" x14ac:dyDescent="0.25">
      <c r="F3" s="3" t="e">
        <f t="shared" ref="F3:F66" si="0">ROUNDUP((C3)/D3,0)</f>
        <v>#DIV/0!</v>
      </c>
      <c r="G3" s="4" t="e">
        <f t="shared" ref="G3:G66" si="1">F3*E3</f>
        <v>#DIV/0!</v>
      </c>
    </row>
    <row r="4" spans="1:11" x14ac:dyDescent="0.25">
      <c r="A4" s="6"/>
      <c r="F4" s="3" t="e">
        <f t="shared" si="0"/>
        <v>#DIV/0!</v>
      </c>
      <c r="G4" s="4" t="e">
        <f t="shared" si="1"/>
        <v>#DIV/0!</v>
      </c>
    </row>
    <row r="5" spans="1:11" x14ac:dyDescent="0.25">
      <c r="F5" s="3" t="e">
        <f t="shared" si="0"/>
        <v>#DIV/0!</v>
      </c>
      <c r="G5" s="4" t="e">
        <f t="shared" si="1"/>
        <v>#DIV/0!</v>
      </c>
    </row>
    <row r="6" spans="1:11" x14ac:dyDescent="0.25">
      <c r="F6" s="3" t="e">
        <f t="shared" si="0"/>
        <v>#DIV/0!</v>
      </c>
      <c r="G6" s="4" t="e">
        <f t="shared" si="1"/>
        <v>#DIV/0!</v>
      </c>
    </row>
    <row r="7" spans="1:11" x14ac:dyDescent="0.25">
      <c r="F7" s="3" t="e">
        <f t="shared" si="0"/>
        <v>#DIV/0!</v>
      </c>
      <c r="G7" s="4" t="e">
        <f t="shared" si="1"/>
        <v>#DIV/0!</v>
      </c>
    </row>
    <row r="8" spans="1:11" x14ac:dyDescent="0.25">
      <c r="F8" s="3" t="e">
        <f t="shared" si="0"/>
        <v>#DIV/0!</v>
      </c>
      <c r="G8" s="4" t="e">
        <f t="shared" si="1"/>
        <v>#DIV/0!</v>
      </c>
    </row>
    <row r="9" spans="1:11" x14ac:dyDescent="0.25">
      <c r="F9" s="3" t="e">
        <f t="shared" si="0"/>
        <v>#DIV/0!</v>
      </c>
      <c r="G9" s="4" t="e">
        <f t="shared" si="1"/>
        <v>#DIV/0!</v>
      </c>
    </row>
    <row r="10" spans="1:11" x14ac:dyDescent="0.25">
      <c r="F10" s="3" t="e">
        <f t="shared" si="0"/>
        <v>#DIV/0!</v>
      </c>
      <c r="G10" s="4" t="e">
        <f t="shared" si="1"/>
        <v>#DIV/0!</v>
      </c>
    </row>
    <row r="11" spans="1:11" x14ac:dyDescent="0.25">
      <c r="F11" s="3" t="e">
        <f t="shared" si="0"/>
        <v>#DIV/0!</v>
      </c>
      <c r="G11" s="4" t="e">
        <f t="shared" si="1"/>
        <v>#DIV/0!</v>
      </c>
    </row>
    <row r="12" spans="1:11" x14ac:dyDescent="0.25">
      <c r="F12" s="3" t="e">
        <f t="shared" si="0"/>
        <v>#DIV/0!</v>
      </c>
      <c r="G12" s="4" t="e">
        <f t="shared" si="1"/>
        <v>#DIV/0!</v>
      </c>
    </row>
    <row r="13" spans="1:11" x14ac:dyDescent="0.25">
      <c r="F13" s="3" t="e">
        <f t="shared" si="0"/>
        <v>#DIV/0!</v>
      </c>
      <c r="G13" s="4" t="e">
        <f t="shared" si="1"/>
        <v>#DIV/0!</v>
      </c>
    </row>
    <row r="14" spans="1:11" x14ac:dyDescent="0.25">
      <c r="F14" s="3" t="e">
        <f t="shared" si="0"/>
        <v>#DIV/0!</v>
      </c>
      <c r="G14" s="4" t="e">
        <f t="shared" si="1"/>
        <v>#DIV/0!</v>
      </c>
    </row>
    <row r="15" spans="1:11" x14ac:dyDescent="0.25">
      <c r="F15" s="3" t="e">
        <f t="shared" si="0"/>
        <v>#DIV/0!</v>
      </c>
      <c r="G15" s="4" t="e">
        <f t="shared" si="1"/>
        <v>#DIV/0!</v>
      </c>
    </row>
    <row r="16" spans="1:11" x14ac:dyDescent="0.25">
      <c r="F16" s="3" t="e">
        <f t="shared" si="0"/>
        <v>#DIV/0!</v>
      </c>
      <c r="G16" s="4" t="e">
        <f t="shared" si="1"/>
        <v>#DIV/0!</v>
      </c>
    </row>
    <row r="17" spans="6:7" x14ac:dyDescent="0.25">
      <c r="F17" s="3" t="e">
        <f t="shared" si="0"/>
        <v>#DIV/0!</v>
      </c>
      <c r="G17" s="4" t="e">
        <f t="shared" si="1"/>
        <v>#DIV/0!</v>
      </c>
    </row>
    <row r="18" spans="6:7" x14ac:dyDescent="0.25">
      <c r="F18" s="3" t="e">
        <f t="shared" si="0"/>
        <v>#DIV/0!</v>
      </c>
      <c r="G18" s="4" t="e">
        <f t="shared" si="1"/>
        <v>#DIV/0!</v>
      </c>
    </row>
    <row r="19" spans="6:7" x14ac:dyDescent="0.25">
      <c r="F19" s="3" t="e">
        <f t="shared" si="0"/>
        <v>#DIV/0!</v>
      </c>
      <c r="G19" s="4" t="e">
        <f t="shared" si="1"/>
        <v>#DIV/0!</v>
      </c>
    </row>
    <row r="20" spans="6:7" x14ac:dyDescent="0.25">
      <c r="F20" s="3" t="e">
        <f t="shared" si="0"/>
        <v>#DIV/0!</v>
      </c>
      <c r="G20" s="4" t="e">
        <f t="shared" si="1"/>
        <v>#DIV/0!</v>
      </c>
    </row>
    <row r="21" spans="6:7" x14ac:dyDescent="0.25">
      <c r="F21" s="3" t="e">
        <f t="shared" si="0"/>
        <v>#DIV/0!</v>
      </c>
      <c r="G21" s="4" t="e">
        <f t="shared" si="1"/>
        <v>#DIV/0!</v>
      </c>
    </row>
    <row r="22" spans="6:7" x14ac:dyDescent="0.25">
      <c r="F22" s="3" t="e">
        <f t="shared" si="0"/>
        <v>#DIV/0!</v>
      </c>
      <c r="G22" s="4" t="e">
        <f t="shared" si="1"/>
        <v>#DIV/0!</v>
      </c>
    </row>
    <row r="23" spans="6:7" x14ac:dyDescent="0.25">
      <c r="F23" s="3" t="e">
        <f t="shared" si="0"/>
        <v>#DIV/0!</v>
      </c>
      <c r="G23" s="4" t="e">
        <f t="shared" si="1"/>
        <v>#DIV/0!</v>
      </c>
    </row>
    <row r="24" spans="6:7" x14ac:dyDescent="0.25">
      <c r="F24" s="3" t="e">
        <f t="shared" si="0"/>
        <v>#DIV/0!</v>
      </c>
      <c r="G24" s="4" t="e">
        <f t="shared" si="1"/>
        <v>#DIV/0!</v>
      </c>
    </row>
    <row r="25" spans="6:7" x14ac:dyDescent="0.25">
      <c r="F25" s="3" t="e">
        <f t="shared" si="0"/>
        <v>#DIV/0!</v>
      </c>
      <c r="G25" s="4" t="e">
        <f t="shared" si="1"/>
        <v>#DIV/0!</v>
      </c>
    </row>
    <row r="26" spans="6:7" x14ac:dyDescent="0.25">
      <c r="F26" s="3" t="e">
        <f t="shared" si="0"/>
        <v>#DIV/0!</v>
      </c>
      <c r="G26" s="4" t="e">
        <f t="shared" si="1"/>
        <v>#DIV/0!</v>
      </c>
    </row>
    <row r="27" spans="6:7" x14ac:dyDescent="0.25">
      <c r="F27" s="3" t="e">
        <f t="shared" si="0"/>
        <v>#DIV/0!</v>
      </c>
      <c r="G27" s="4" t="e">
        <f t="shared" si="1"/>
        <v>#DIV/0!</v>
      </c>
    </row>
    <row r="28" spans="6:7" x14ac:dyDescent="0.25">
      <c r="F28" s="3" t="e">
        <f t="shared" si="0"/>
        <v>#DIV/0!</v>
      </c>
      <c r="G28" s="4" t="e">
        <f t="shared" si="1"/>
        <v>#DIV/0!</v>
      </c>
    </row>
    <row r="29" spans="6:7" x14ac:dyDescent="0.25">
      <c r="F29" s="3" t="e">
        <f t="shared" si="0"/>
        <v>#DIV/0!</v>
      </c>
      <c r="G29" s="4" t="e">
        <f t="shared" si="1"/>
        <v>#DIV/0!</v>
      </c>
    </row>
    <row r="30" spans="6:7" x14ac:dyDescent="0.25">
      <c r="F30" s="3" t="e">
        <f t="shared" si="0"/>
        <v>#DIV/0!</v>
      </c>
      <c r="G30" s="4" t="e">
        <f t="shared" si="1"/>
        <v>#DIV/0!</v>
      </c>
    </row>
    <row r="31" spans="6:7" x14ac:dyDescent="0.25">
      <c r="F31" s="3" t="e">
        <f t="shared" si="0"/>
        <v>#DIV/0!</v>
      </c>
      <c r="G31" s="4" t="e">
        <f t="shared" si="1"/>
        <v>#DIV/0!</v>
      </c>
    </row>
    <row r="32" spans="6:7" x14ac:dyDescent="0.25">
      <c r="F32" s="3" t="e">
        <f t="shared" si="0"/>
        <v>#DIV/0!</v>
      </c>
      <c r="G32" s="4" t="e">
        <f t="shared" si="1"/>
        <v>#DIV/0!</v>
      </c>
    </row>
    <row r="33" spans="6:7" x14ac:dyDescent="0.25">
      <c r="F33" s="3" t="e">
        <f t="shared" si="0"/>
        <v>#DIV/0!</v>
      </c>
      <c r="G33" s="4" t="e">
        <f t="shared" si="1"/>
        <v>#DIV/0!</v>
      </c>
    </row>
    <row r="34" spans="6:7" x14ac:dyDescent="0.25">
      <c r="F34" s="3" t="e">
        <f t="shared" si="0"/>
        <v>#DIV/0!</v>
      </c>
      <c r="G34" s="4" t="e">
        <f t="shared" si="1"/>
        <v>#DIV/0!</v>
      </c>
    </row>
    <row r="35" spans="6:7" x14ac:dyDescent="0.25">
      <c r="F35" s="3" t="e">
        <f t="shared" si="0"/>
        <v>#DIV/0!</v>
      </c>
      <c r="G35" s="4" t="e">
        <f t="shared" si="1"/>
        <v>#DIV/0!</v>
      </c>
    </row>
    <row r="36" spans="6:7" x14ac:dyDescent="0.25">
      <c r="F36" s="3" t="e">
        <f t="shared" si="0"/>
        <v>#DIV/0!</v>
      </c>
      <c r="G36" s="4" t="e">
        <f t="shared" si="1"/>
        <v>#DIV/0!</v>
      </c>
    </row>
    <row r="37" spans="6:7" x14ac:dyDescent="0.25">
      <c r="F37" s="3" t="e">
        <f t="shared" si="0"/>
        <v>#DIV/0!</v>
      </c>
      <c r="G37" s="4" t="e">
        <f t="shared" si="1"/>
        <v>#DIV/0!</v>
      </c>
    </row>
    <row r="38" spans="6:7" x14ac:dyDescent="0.25">
      <c r="F38" s="3" t="e">
        <f t="shared" si="0"/>
        <v>#DIV/0!</v>
      </c>
      <c r="G38" s="4" t="e">
        <f t="shared" si="1"/>
        <v>#DIV/0!</v>
      </c>
    </row>
    <row r="39" spans="6:7" x14ac:dyDescent="0.25">
      <c r="F39" s="3" t="e">
        <f t="shared" si="0"/>
        <v>#DIV/0!</v>
      </c>
      <c r="G39" s="4" t="e">
        <f t="shared" si="1"/>
        <v>#DIV/0!</v>
      </c>
    </row>
    <row r="40" spans="6:7" x14ac:dyDescent="0.25">
      <c r="F40" s="3" t="e">
        <f t="shared" si="0"/>
        <v>#DIV/0!</v>
      </c>
      <c r="G40" s="4" t="e">
        <f t="shared" si="1"/>
        <v>#DIV/0!</v>
      </c>
    </row>
    <row r="41" spans="6:7" x14ac:dyDescent="0.25">
      <c r="F41" s="3" t="e">
        <f t="shared" si="0"/>
        <v>#DIV/0!</v>
      </c>
      <c r="G41" s="4" t="e">
        <f t="shared" si="1"/>
        <v>#DIV/0!</v>
      </c>
    </row>
    <row r="42" spans="6:7" x14ac:dyDescent="0.25">
      <c r="F42" s="3" t="e">
        <f t="shared" si="0"/>
        <v>#DIV/0!</v>
      </c>
      <c r="G42" s="4" t="e">
        <f t="shared" si="1"/>
        <v>#DIV/0!</v>
      </c>
    </row>
    <row r="43" spans="6:7" x14ac:dyDescent="0.25">
      <c r="F43" s="3" t="e">
        <f t="shared" si="0"/>
        <v>#DIV/0!</v>
      </c>
      <c r="G43" s="4" t="e">
        <f t="shared" si="1"/>
        <v>#DIV/0!</v>
      </c>
    </row>
    <row r="44" spans="6:7" x14ac:dyDescent="0.25">
      <c r="F44" s="3" t="e">
        <f t="shared" si="0"/>
        <v>#DIV/0!</v>
      </c>
      <c r="G44" s="4" t="e">
        <f t="shared" si="1"/>
        <v>#DIV/0!</v>
      </c>
    </row>
    <row r="45" spans="6:7" x14ac:dyDescent="0.25">
      <c r="F45" s="3" t="e">
        <f t="shared" si="0"/>
        <v>#DIV/0!</v>
      </c>
      <c r="G45" s="4" t="e">
        <f t="shared" si="1"/>
        <v>#DIV/0!</v>
      </c>
    </row>
    <row r="46" spans="6:7" x14ac:dyDescent="0.25">
      <c r="F46" s="3" t="e">
        <f t="shared" si="0"/>
        <v>#DIV/0!</v>
      </c>
      <c r="G46" s="4" t="e">
        <f t="shared" si="1"/>
        <v>#DIV/0!</v>
      </c>
    </row>
    <row r="47" spans="6:7" x14ac:dyDescent="0.25">
      <c r="F47" s="3" t="e">
        <f t="shared" si="0"/>
        <v>#DIV/0!</v>
      </c>
      <c r="G47" s="4" t="e">
        <f t="shared" si="1"/>
        <v>#DIV/0!</v>
      </c>
    </row>
    <row r="48" spans="6:7" x14ac:dyDescent="0.25">
      <c r="F48" s="3" t="e">
        <f t="shared" si="0"/>
        <v>#DIV/0!</v>
      </c>
      <c r="G48" s="4" t="e">
        <f t="shared" si="1"/>
        <v>#DIV/0!</v>
      </c>
    </row>
    <row r="49" spans="6:7" x14ac:dyDescent="0.25">
      <c r="F49" s="3" t="e">
        <f t="shared" si="0"/>
        <v>#DIV/0!</v>
      </c>
      <c r="G49" s="4" t="e">
        <f t="shared" si="1"/>
        <v>#DIV/0!</v>
      </c>
    </row>
    <row r="50" spans="6:7" x14ac:dyDescent="0.25">
      <c r="F50" s="3" t="e">
        <f t="shared" si="0"/>
        <v>#DIV/0!</v>
      </c>
      <c r="G50" s="4" t="e">
        <f t="shared" si="1"/>
        <v>#DIV/0!</v>
      </c>
    </row>
    <row r="51" spans="6:7" x14ac:dyDescent="0.25">
      <c r="F51" s="3" t="e">
        <f t="shared" si="0"/>
        <v>#DIV/0!</v>
      </c>
      <c r="G51" s="4" t="e">
        <f t="shared" si="1"/>
        <v>#DIV/0!</v>
      </c>
    </row>
    <row r="52" spans="6:7" x14ac:dyDescent="0.25">
      <c r="F52" s="3" t="e">
        <f t="shared" si="0"/>
        <v>#DIV/0!</v>
      </c>
      <c r="G52" s="4" t="e">
        <f t="shared" si="1"/>
        <v>#DIV/0!</v>
      </c>
    </row>
    <row r="53" spans="6:7" x14ac:dyDescent="0.25">
      <c r="F53" s="3" t="e">
        <f t="shared" si="0"/>
        <v>#DIV/0!</v>
      </c>
      <c r="G53" s="4" t="e">
        <f t="shared" si="1"/>
        <v>#DIV/0!</v>
      </c>
    </row>
    <row r="54" spans="6:7" x14ac:dyDescent="0.25">
      <c r="F54" s="3" t="e">
        <f t="shared" si="0"/>
        <v>#DIV/0!</v>
      </c>
      <c r="G54" s="4" t="e">
        <f t="shared" si="1"/>
        <v>#DIV/0!</v>
      </c>
    </row>
    <row r="55" spans="6:7" x14ac:dyDescent="0.25">
      <c r="F55" s="3" t="e">
        <f t="shared" si="0"/>
        <v>#DIV/0!</v>
      </c>
      <c r="G55" s="4" t="e">
        <f t="shared" si="1"/>
        <v>#DIV/0!</v>
      </c>
    </row>
    <row r="56" spans="6:7" x14ac:dyDescent="0.25">
      <c r="F56" s="3" t="e">
        <f t="shared" si="0"/>
        <v>#DIV/0!</v>
      </c>
      <c r="G56" s="4" t="e">
        <f t="shared" si="1"/>
        <v>#DIV/0!</v>
      </c>
    </row>
    <row r="57" spans="6:7" x14ac:dyDescent="0.25">
      <c r="F57" s="3" t="e">
        <f t="shared" si="0"/>
        <v>#DIV/0!</v>
      </c>
      <c r="G57" s="4" t="e">
        <f t="shared" si="1"/>
        <v>#DIV/0!</v>
      </c>
    </row>
    <row r="58" spans="6:7" x14ac:dyDescent="0.25">
      <c r="F58" s="3" t="e">
        <f t="shared" si="0"/>
        <v>#DIV/0!</v>
      </c>
      <c r="G58" s="4" t="e">
        <f t="shared" si="1"/>
        <v>#DIV/0!</v>
      </c>
    </row>
    <row r="59" spans="6:7" x14ac:dyDescent="0.25">
      <c r="F59" s="3" t="e">
        <f t="shared" si="0"/>
        <v>#DIV/0!</v>
      </c>
      <c r="G59" s="4" t="e">
        <f t="shared" si="1"/>
        <v>#DIV/0!</v>
      </c>
    </row>
    <row r="60" spans="6:7" x14ac:dyDescent="0.25">
      <c r="F60" s="3" t="e">
        <f t="shared" si="0"/>
        <v>#DIV/0!</v>
      </c>
      <c r="G60" s="4" t="e">
        <f t="shared" si="1"/>
        <v>#DIV/0!</v>
      </c>
    </row>
    <row r="61" spans="6:7" x14ac:dyDescent="0.25">
      <c r="F61" s="3" t="e">
        <f t="shared" si="0"/>
        <v>#DIV/0!</v>
      </c>
      <c r="G61" s="4" t="e">
        <f t="shared" si="1"/>
        <v>#DIV/0!</v>
      </c>
    </row>
    <row r="62" spans="6:7" x14ac:dyDescent="0.25">
      <c r="F62" s="3" t="e">
        <f t="shared" si="0"/>
        <v>#DIV/0!</v>
      </c>
      <c r="G62" s="4" t="e">
        <f t="shared" si="1"/>
        <v>#DIV/0!</v>
      </c>
    </row>
    <row r="63" spans="6:7" x14ac:dyDescent="0.25">
      <c r="F63" s="3" t="e">
        <f t="shared" si="0"/>
        <v>#DIV/0!</v>
      </c>
      <c r="G63" s="4" t="e">
        <f t="shared" si="1"/>
        <v>#DIV/0!</v>
      </c>
    </row>
    <row r="64" spans="6:7" x14ac:dyDescent="0.25">
      <c r="F64" s="3" t="e">
        <f t="shared" si="0"/>
        <v>#DIV/0!</v>
      </c>
      <c r="G64" s="4" t="e">
        <f t="shared" si="1"/>
        <v>#DIV/0!</v>
      </c>
    </row>
    <row r="65" spans="6:7" x14ac:dyDescent="0.25">
      <c r="F65" s="3" t="e">
        <f t="shared" si="0"/>
        <v>#DIV/0!</v>
      </c>
      <c r="G65" s="4" t="e">
        <f t="shared" si="1"/>
        <v>#DIV/0!</v>
      </c>
    </row>
    <row r="66" spans="6:7" x14ac:dyDescent="0.25">
      <c r="F66" s="3" t="e">
        <f t="shared" si="0"/>
        <v>#DIV/0!</v>
      </c>
      <c r="G66" s="4" t="e">
        <f t="shared" si="1"/>
        <v>#DIV/0!</v>
      </c>
    </row>
    <row r="67" spans="6:7" x14ac:dyDescent="0.25">
      <c r="F67" s="3" t="e">
        <f t="shared" ref="F67:F130" si="2">ROUNDUP((C67)/D67,0)</f>
        <v>#DIV/0!</v>
      </c>
      <c r="G67" s="4" t="e">
        <f t="shared" ref="G67:G130" si="3">F67*E67</f>
        <v>#DIV/0!</v>
      </c>
    </row>
    <row r="68" spans="6:7" x14ac:dyDescent="0.25">
      <c r="F68" s="3" t="e">
        <f t="shared" si="2"/>
        <v>#DIV/0!</v>
      </c>
      <c r="G68" s="4" t="e">
        <f t="shared" si="3"/>
        <v>#DIV/0!</v>
      </c>
    </row>
    <row r="69" spans="6:7" x14ac:dyDescent="0.25">
      <c r="F69" s="3" t="e">
        <f t="shared" si="2"/>
        <v>#DIV/0!</v>
      </c>
      <c r="G69" s="4" t="e">
        <f t="shared" si="3"/>
        <v>#DIV/0!</v>
      </c>
    </row>
    <row r="70" spans="6:7" x14ac:dyDescent="0.25">
      <c r="F70" s="3" t="e">
        <f t="shared" si="2"/>
        <v>#DIV/0!</v>
      </c>
      <c r="G70" s="4" t="e">
        <f t="shared" si="3"/>
        <v>#DIV/0!</v>
      </c>
    </row>
    <row r="71" spans="6:7" x14ac:dyDescent="0.25">
      <c r="F71" s="3" t="e">
        <f t="shared" si="2"/>
        <v>#DIV/0!</v>
      </c>
      <c r="G71" s="4" t="e">
        <f t="shared" si="3"/>
        <v>#DIV/0!</v>
      </c>
    </row>
    <row r="72" spans="6:7" x14ac:dyDescent="0.25">
      <c r="F72" s="3" t="e">
        <f t="shared" si="2"/>
        <v>#DIV/0!</v>
      </c>
      <c r="G72" s="4" t="e">
        <f t="shared" si="3"/>
        <v>#DIV/0!</v>
      </c>
    </row>
    <row r="73" spans="6:7" x14ac:dyDescent="0.25">
      <c r="F73" s="3" t="e">
        <f t="shared" si="2"/>
        <v>#DIV/0!</v>
      </c>
      <c r="G73" s="4" t="e">
        <f t="shared" si="3"/>
        <v>#DIV/0!</v>
      </c>
    </row>
    <row r="74" spans="6:7" x14ac:dyDescent="0.25">
      <c r="F74" s="3" t="e">
        <f t="shared" si="2"/>
        <v>#DIV/0!</v>
      </c>
      <c r="G74" s="4" t="e">
        <f t="shared" si="3"/>
        <v>#DIV/0!</v>
      </c>
    </row>
    <row r="75" spans="6:7" x14ac:dyDescent="0.25">
      <c r="F75" s="3" t="e">
        <f t="shared" si="2"/>
        <v>#DIV/0!</v>
      </c>
      <c r="G75" s="4" t="e">
        <f t="shared" si="3"/>
        <v>#DIV/0!</v>
      </c>
    </row>
    <row r="76" spans="6:7" x14ac:dyDescent="0.25">
      <c r="F76" s="3" t="e">
        <f t="shared" si="2"/>
        <v>#DIV/0!</v>
      </c>
      <c r="G76" s="4" t="e">
        <f t="shared" si="3"/>
        <v>#DIV/0!</v>
      </c>
    </row>
    <row r="77" spans="6:7" x14ac:dyDescent="0.25">
      <c r="F77" s="3" t="e">
        <f t="shared" si="2"/>
        <v>#DIV/0!</v>
      </c>
      <c r="G77" s="4" t="e">
        <f t="shared" si="3"/>
        <v>#DIV/0!</v>
      </c>
    </row>
    <row r="78" spans="6:7" x14ac:dyDescent="0.25">
      <c r="F78" s="3" t="e">
        <f t="shared" si="2"/>
        <v>#DIV/0!</v>
      </c>
      <c r="G78" s="4" t="e">
        <f t="shared" si="3"/>
        <v>#DIV/0!</v>
      </c>
    </row>
    <row r="79" spans="6:7" x14ac:dyDescent="0.25">
      <c r="F79" s="3" t="e">
        <f t="shared" si="2"/>
        <v>#DIV/0!</v>
      </c>
      <c r="G79" s="4" t="e">
        <f t="shared" si="3"/>
        <v>#DIV/0!</v>
      </c>
    </row>
    <row r="80" spans="6:7" x14ac:dyDescent="0.25">
      <c r="F80" s="3" t="e">
        <f t="shared" si="2"/>
        <v>#DIV/0!</v>
      </c>
      <c r="G80" s="4" t="e">
        <f t="shared" si="3"/>
        <v>#DIV/0!</v>
      </c>
    </row>
    <row r="81" spans="6:7" x14ac:dyDescent="0.25">
      <c r="F81" s="3" t="e">
        <f t="shared" si="2"/>
        <v>#DIV/0!</v>
      </c>
      <c r="G81" s="4" t="e">
        <f t="shared" si="3"/>
        <v>#DIV/0!</v>
      </c>
    </row>
    <row r="82" spans="6:7" x14ac:dyDescent="0.25">
      <c r="F82" s="3" t="e">
        <f t="shared" si="2"/>
        <v>#DIV/0!</v>
      </c>
      <c r="G82" s="4" t="e">
        <f t="shared" si="3"/>
        <v>#DIV/0!</v>
      </c>
    </row>
    <row r="83" spans="6:7" x14ac:dyDescent="0.25">
      <c r="F83" s="3" t="e">
        <f t="shared" si="2"/>
        <v>#DIV/0!</v>
      </c>
      <c r="G83" s="4" t="e">
        <f t="shared" si="3"/>
        <v>#DIV/0!</v>
      </c>
    </row>
    <row r="84" spans="6:7" x14ac:dyDescent="0.25">
      <c r="F84" s="3" t="e">
        <f t="shared" si="2"/>
        <v>#DIV/0!</v>
      </c>
      <c r="G84" s="4" t="e">
        <f t="shared" si="3"/>
        <v>#DIV/0!</v>
      </c>
    </row>
    <row r="85" spans="6:7" x14ac:dyDescent="0.25">
      <c r="F85" s="3" t="e">
        <f t="shared" si="2"/>
        <v>#DIV/0!</v>
      </c>
      <c r="G85" s="4" t="e">
        <f t="shared" si="3"/>
        <v>#DIV/0!</v>
      </c>
    </row>
    <row r="86" spans="6:7" x14ac:dyDescent="0.25">
      <c r="F86" s="3" t="e">
        <f t="shared" si="2"/>
        <v>#DIV/0!</v>
      </c>
      <c r="G86" s="4" t="e">
        <f t="shared" si="3"/>
        <v>#DIV/0!</v>
      </c>
    </row>
    <row r="87" spans="6:7" x14ac:dyDescent="0.25">
      <c r="F87" s="3" t="e">
        <f t="shared" si="2"/>
        <v>#DIV/0!</v>
      </c>
      <c r="G87" s="4" t="e">
        <f t="shared" si="3"/>
        <v>#DIV/0!</v>
      </c>
    </row>
    <row r="88" spans="6:7" x14ac:dyDescent="0.25">
      <c r="F88" s="3" t="e">
        <f t="shared" si="2"/>
        <v>#DIV/0!</v>
      </c>
      <c r="G88" s="4" t="e">
        <f t="shared" si="3"/>
        <v>#DIV/0!</v>
      </c>
    </row>
    <row r="89" spans="6:7" x14ac:dyDescent="0.25">
      <c r="F89" s="3" t="e">
        <f t="shared" si="2"/>
        <v>#DIV/0!</v>
      </c>
      <c r="G89" s="4" t="e">
        <f t="shared" si="3"/>
        <v>#DIV/0!</v>
      </c>
    </row>
    <row r="90" spans="6:7" x14ac:dyDescent="0.25">
      <c r="F90" s="3" t="e">
        <f t="shared" si="2"/>
        <v>#DIV/0!</v>
      </c>
      <c r="G90" s="4" t="e">
        <f t="shared" si="3"/>
        <v>#DIV/0!</v>
      </c>
    </row>
    <row r="91" spans="6:7" x14ac:dyDescent="0.25">
      <c r="F91" s="3" t="e">
        <f t="shared" si="2"/>
        <v>#DIV/0!</v>
      </c>
      <c r="G91" s="4" t="e">
        <f t="shared" si="3"/>
        <v>#DIV/0!</v>
      </c>
    </row>
    <row r="92" spans="6:7" x14ac:dyDescent="0.25">
      <c r="F92" s="3" t="e">
        <f t="shared" si="2"/>
        <v>#DIV/0!</v>
      </c>
      <c r="G92" s="4" t="e">
        <f t="shared" si="3"/>
        <v>#DIV/0!</v>
      </c>
    </row>
    <row r="93" spans="6:7" x14ac:dyDescent="0.25">
      <c r="F93" s="3" t="e">
        <f t="shared" si="2"/>
        <v>#DIV/0!</v>
      </c>
      <c r="G93" s="4" t="e">
        <f t="shared" si="3"/>
        <v>#DIV/0!</v>
      </c>
    </row>
    <row r="94" spans="6:7" x14ac:dyDescent="0.25">
      <c r="F94" s="3" t="e">
        <f t="shared" si="2"/>
        <v>#DIV/0!</v>
      </c>
      <c r="G94" s="4" t="e">
        <f t="shared" si="3"/>
        <v>#DIV/0!</v>
      </c>
    </row>
    <row r="95" spans="6:7" x14ac:dyDescent="0.25">
      <c r="F95" s="3" t="e">
        <f t="shared" si="2"/>
        <v>#DIV/0!</v>
      </c>
      <c r="G95" s="4" t="e">
        <f t="shared" si="3"/>
        <v>#DIV/0!</v>
      </c>
    </row>
    <row r="96" spans="6:7" x14ac:dyDescent="0.25">
      <c r="F96" s="3" t="e">
        <f t="shared" si="2"/>
        <v>#DIV/0!</v>
      </c>
      <c r="G96" s="4" t="e">
        <f t="shared" si="3"/>
        <v>#DIV/0!</v>
      </c>
    </row>
    <row r="97" spans="6:7" x14ac:dyDescent="0.25">
      <c r="F97" s="3" t="e">
        <f t="shared" si="2"/>
        <v>#DIV/0!</v>
      </c>
      <c r="G97" s="4" t="e">
        <f t="shared" si="3"/>
        <v>#DIV/0!</v>
      </c>
    </row>
    <row r="98" spans="6:7" x14ac:dyDescent="0.25">
      <c r="F98" s="3" t="e">
        <f t="shared" si="2"/>
        <v>#DIV/0!</v>
      </c>
      <c r="G98" s="4" t="e">
        <f t="shared" si="3"/>
        <v>#DIV/0!</v>
      </c>
    </row>
    <row r="99" spans="6:7" x14ac:dyDescent="0.25">
      <c r="F99" s="3" t="e">
        <f t="shared" si="2"/>
        <v>#DIV/0!</v>
      </c>
      <c r="G99" s="4" t="e">
        <f t="shared" si="3"/>
        <v>#DIV/0!</v>
      </c>
    </row>
    <row r="100" spans="6:7" x14ac:dyDescent="0.25">
      <c r="F100" s="3" t="e">
        <f t="shared" si="2"/>
        <v>#DIV/0!</v>
      </c>
      <c r="G100" s="4" t="e">
        <f t="shared" si="3"/>
        <v>#DIV/0!</v>
      </c>
    </row>
    <row r="101" spans="6:7" x14ac:dyDescent="0.25">
      <c r="F101" s="3" t="e">
        <f t="shared" si="2"/>
        <v>#DIV/0!</v>
      </c>
      <c r="G101" s="4" t="e">
        <f t="shared" si="3"/>
        <v>#DIV/0!</v>
      </c>
    </row>
    <row r="102" spans="6:7" x14ac:dyDescent="0.25">
      <c r="F102" s="3" t="e">
        <f t="shared" si="2"/>
        <v>#DIV/0!</v>
      </c>
      <c r="G102" s="4" t="e">
        <f t="shared" si="3"/>
        <v>#DIV/0!</v>
      </c>
    </row>
    <row r="103" spans="6:7" x14ac:dyDescent="0.25">
      <c r="F103" s="3" t="e">
        <f t="shared" si="2"/>
        <v>#DIV/0!</v>
      </c>
      <c r="G103" s="4" t="e">
        <f t="shared" si="3"/>
        <v>#DIV/0!</v>
      </c>
    </row>
    <row r="104" spans="6:7" x14ac:dyDescent="0.25">
      <c r="F104" s="3" t="e">
        <f t="shared" si="2"/>
        <v>#DIV/0!</v>
      </c>
      <c r="G104" s="4" t="e">
        <f t="shared" si="3"/>
        <v>#DIV/0!</v>
      </c>
    </row>
    <row r="105" spans="6:7" x14ac:dyDescent="0.25">
      <c r="F105" s="3" t="e">
        <f t="shared" si="2"/>
        <v>#DIV/0!</v>
      </c>
      <c r="G105" s="4" t="e">
        <f t="shared" si="3"/>
        <v>#DIV/0!</v>
      </c>
    </row>
    <row r="106" spans="6:7" x14ac:dyDescent="0.25">
      <c r="F106" s="3" t="e">
        <f t="shared" si="2"/>
        <v>#DIV/0!</v>
      </c>
      <c r="G106" s="4" t="e">
        <f t="shared" si="3"/>
        <v>#DIV/0!</v>
      </c>
    </row>
    <row r="107" spans="6:7" x14ac:dyDescent="0.25">
      <c r="F107" s="3" t="e">
        <f t="shared" si="2"/>
        <v>#DIV/0!</v>
      </c>
      <c r="G107" s="4" t="e">
        <f t="shared" si="3"/>
        <v>#DIV/0!</v>
      </c>
    </row>
    <row r="108" spans="6:7" x14ac:dyDescent="0.25">
      <c r="F108" s="3" t="e">
        <f t="shared" si="2"/>
        <v>#DIV/0!</v>
      </c>
      <c r="G108" s="4" t="e">
        <f t="shared" si="3"/>
        <v>#DIV/0!</v>
      </c>
    </row>
    <row r="109" spans="6:7" x14ac:dyDescent="0.25">
      <c r="F109" s="3" t="e">
        <f t="shared" si="2"/>
        <v>#DIV/0!</v>
      </c>
      <c r="G109" s="4" t="e">
        <f t="shared" si="3"/>
        <v>#DIV/0!</v>
      </c>
    </row>
    <row r="110" spans="6:7" x14ac:dyDescent="0.25">
      <c r="F110" s="3" t="e">
        <f t="shared" si="2"/>
        <v>#DIV/0!</v>
      </c>
      <c r="G110" s="4" t="e">
        <f t="shared" si="3"/>
        <v>#DIV/0!</v>
      </c>
    </row>
    <row r="111" spans="6:7" x14ac:dyDescent="0.25">
      <c r="F111" s="3" t="e">
        <f t="shared" si="2"/>
        <v>#DIV/0!</v>
      </c>
      <c r="G111" s="4" t="e">
        <f t="shared" si="3"/>
        <v>#DIV/0!</v>
      </c>
    </row>
    <row r="112" spans="6:7" x14ac:dyDescent="0.25">
      <c r="F112" s="3" t="e">
        <f t="shared" si="2"/>
        <v>#DIV/0!</v>
      </c>
      <c r="G112" s="4" t="e">
        <f t="shared" si="3"/>
        <v>#DIV/0!</v>
      </c>
    </row>
    <row r="113" spans="6:7" x14ac:dyDescent="0.25">
      <c r="F113" s="3" t="e">
        <f t="shared" si="2"/>
        <v>#DIV/0!</v>
      </c>
      <c r="G113" s="4" t="e">
        <f t="shared" si="3"/>
        <v>#DIV/0!</v>
      </c>
    </row>
    <row r="114" spans="6:7" x14ac:dyDescent="0.25">
      <c r="F114" s="3" t="e">
        <f t="shared" si="2"/>
        <v>#DIV/0!</v>
      </c>
      <c r="G114" s="4" t="e">
        <f t="shared" si="3"/>
        <v>#DIV/0!</v>
      </c>
    </row>
    <row r="115" spans="6:7" x14ac:dyDescent="0.25">
      <c r="F115" s="3" t="e">
        <f t="shared" si="2"/>
        <v>#DIV/0!</v>
      </c>
      <c r="G115" s="4" t="e">
        <f t="shared" si="3"/>
        <v>#DIV/0!</v>
      </c>
    </row>
    <row r="116" spans="6:7" x14ac:dyDescent="0.25">
      <c r="F116" s="3" t="e">
        <f t="shared" si="2"/>
        <v>#DIV/0!</v>
      </c>
      <c r="G116" s="4" t="e">
        <f t="shared" si="3"/>
        <v>#DIV/0!</v>
      </c>
    </row>
    <row r="117" spans="6:7" x14ac:dyDescent="0.25">
      <c r="F117" s="3" t="e">
        <f t="shared" si="2"/>
        <v>#DIV/0!</v>
      </c>
      <c r="G117" s="4" t="e">
        <f t="shared" si="3"/>
        <v>#DIV/0!</v>
      </c>
    </row>
    <row r="118" spans="6:7" x14ac:dyDescent="0.25">
      <c r="F118" s="3" t="e">
        <f t="shared" si="2"/>
        <v>#DIV/0!</v>
      </c>
      <c r="G118" s="4" t="e">
        <f t="shared" si="3"/>
        <v>#DIV/0!</v>
      </c>
    </row>
    <row r="119" spans="6:7" x14ac:dyDescent="0.25">
      <c r="F119" s="3" t="e">
        <f t="shared" si="2"/>
        <v>#DIV/0!</v>
      </c>
      <c r="G119" s="4" t="e">
        <f t="shared" si="3"/>
        <v>#DIV/0!</v>
      </c>
    </row>
    <row r="120" spans="6:7" x14ac:dyDescent="0.25">
      <c r="F120" s="3" t="e">
        <f t="shared" si="2"/>
        <v>#DIV/0!</v>
      </c>
      <c r="G120" s="4" t="e">
        <f t="shared" si="3"/>
        <v>#DIV/0!</v>
      </c>
    </row>
    <row r="121" spans="6:7" x14ac:dyDescent="0.25">
      <c r="F121" s="3" t="e">
        <f t="shared" si="2"/>
        <v>#DIV/0!</v>
      </c>
      <c r="G121" s="4" t="e">
        <f t="shared" si="3"/>
        <v>#DIV/0!</v>
      </c>
    </row>
    <row r="122" spans="6:7" x14ac:dyDescent="0.25">
      <c r="F122" s="3" t="e">
        <f t="shared" si="2"/>
        <v>#DIV/0!</v>
      </c>
      <c r="G122" s="4" t="e">
        <f t="shared" si="3"/>
        <v>#DIV/0!</v>
      </c>
    </row>
    <row r="123" spans="6:7" x14ac:dyDescent="0.25">
      <c r="F123" s="3" t="e">
        <f t="shared" si="2"/>
        <v>#DIV/0!</v>
      </c>
      <c r="G123" s="4" t="e">
        <f t="shared" si="3"/>
        <v>#DIV/0!</v>
      </c>
    </row>
    <row r="124" spans="6:7" x14ac:dyDescent="0.25">
      <c r="F124" s="3" t="e">
        <f t="shared" si="2"/>
        <v>#DIV/0!</v>
      </c>
      <c r="G124" s="4" t="e">
        <f t="shared" si="3"/>
        <v>#DIV/0!</v>
      </c>
    </row>
    <row r="125" spans="6:7" x14ac:dyDescent="0.25">
      <c r="F125" s="3" t="e">
        <f t="shared" si="2"/>
        <v>#DIV/0!</v>
      </c>
      <c r="G125" s="4" t="e">
        <f t="shared" si="3"/>
        <v>#DIV/0!</v>
      </c>
    </row>
    <row r="126" spans="6:7" x14ac:dyDescent="0.25">
      <c r="F126" s="3" t="e">
        <f t="shared" si="2"/>
        <v>#DIV/0!</v>
      </c>
      <c r="G126" s="4" t="e">
        <f t="shared" si="3"/>
        <v>#DIV/0!</v>
      </c>
    </row>
    <row r="127" spans="6:7" x14ac:dyDescent="0.25">
      <c r="F127" s="3" t="e">
        <f t="shared" si="2"/>
        <v>#DIV/0!</v>
      </c>
      <c r="G127" s="4" t="e">
        <f t="shared" si="3"/>
        <v>#DIV/0!</v>
      </c>
    </row>
    <row r="128" spans="6:7" x14ac:dyDescent="0.25">
      <c r="F128" s="3" t="e">
        <f t="shared" si="2"/>
        <v>#DIV/0!</v>
      </c>
      <c r="G128" s="4" t="e">
        <f t="shared" si="3"/>
        <v>#DIV/0!</v>
      </c>
    </row>
    <row r="129" spans="6:7" x14ac:dyDescent="0.25">
      <c r="F129" s="3" t="e">
        <f t="shared" si="2"/>
        <v>#DIV/0!</v>
      </c>
      <c r="G129" s="4" t="e">
        <f t="shared" si="3"/>
        <v>#DIV/0!</v>
      </c>
    </row>
    <row r="130" spans="6:7" x14ac:dyDescent="0.25">
      <c r="F130" s="3" t="e">
        <f t="shared" si="2"/>
        <v>#DIV/0!</v>
      </c>
      <c r="G130" s="4" t="e">
        <f t="shared" si="3"/>
        <v>#DIV/0!</v>
      </c>
    </row>
    <row r="131" spans="6:7" x14ac:dyDescent="0.25">
      <c r="F131" s="3" t="e">
        <f t="shared" ref="F131:F194" si="4">ROUNDUP((C131)/D131,0)</f>
        <v>#DIV/0!</v>
      </c>
      <c r="G131" s="4" t="e">
        <f t="shared" ref="G131:G194" si="5">F131*E131</f>
        <v>#DIV/0!</v>
      </c>
    </row>
    <row r="132" spans="6:7" x14ac:dyDescent="0.25">
      <c r="F132" s="3" t="e">
        <f t="shared" si="4"/>
        <v>#DIV/0!</v>
      </c>
      <c r="G132" s="4" t="e">
        <f t="shared" si="5"/>
        <v>#DIV/0!</v>
      </c>
    </row>
    <row r="133" spans="6:7" x14ac:dyDescent="0.25">
      <c r="F133" s="3" t="e">
        <f t="shared" si="4"/>
        <v>#DIV/0!</v>
      </c>
      <c r="G133" s="4" t="e">
        <f t="shared" si="5"/>
        <v>#DIV/0!</v>
      </c>
    </row>
    <row r="134" spans="6:7" x14ac:dyDescent="0.25">
      <c r="F134" s="3" t="e">
        <f t="shared" si="4"/>
        <v>#DIV/0!</v>
      </c>
      <c r="G134" s="4" t="e">
        <f t="shared" si="5"/>
        <v>#DIV/0!</v>
      </c>
    </row>
    <row r="135" spans="6:7" x14ac:dyDescent="0.25">
      <c r="F135" s="3" t="e">
        <f t="shared" si="4"/>
        <v>#DIV/0!</v>
      </c>
      <c r="G135" s="4" t="e">
        <f t="shared" si="5"/>
        <v>#DIV/0!</v>
      </c>
    </row>
    <row r="136" spans="6:7" x14ac:dyDescent="0.25">
      <c r="F136" s="3" t="e">
        <f t="shared" si="4"/>
        <v>#DIV/0!</v>
      </c>
      <c r="G136" s="4" t="e">
        <f t="shared" si="5"/>
        <v>#DIV/0!</v>
      </c>
    </row>
    <row r="137" spans="6:7" x14ac:dyDescent="0.25">
      <c r="F137" s="3" t="e">
        <f t="shared" si="4"/>
        <v>#DIV/0!</v>
      </c>
      <c r="G137" s="4" t="e">
        <f t="shared" si="5"/>
        <v>#DIV/0!</v>
      </c>
    </row>
    <row r="138" spans="6:7" x14ac:dyDescent="0.25">
      <c r="F138" s="3" t="e">
        <f t="shared" si="4"/>
        <v>#DIV/0!</v>
      </c>
      <c r="G138" s="4" t="e">
        <f t="shared" si="5"/>
        <v>#DIV/0!</v>
      </c>
    </row>
    <row r="139" spans="6:7" x14ac:dyDescent="0.25">
      <c r="F139" s="3" t="e">
        <f t="shared" si="4"/>
        <v>#DIV/0!</v>
      </c>
      <c r="G139" s="4" t="e">
        <f t="shared" si="5"/>
        <v>#DIV/0!</v>
      </c>
    </row>
    <row r="140" spans="6:7" x14ac:dyDescent="0.25">
      <c r="F140" s="3" t="e">
        <f t="shared" si="4"/>
        <v>#DIV/0!</v>
      </c>
      <c r="G140" s="4" t="e">
        <f t="shared" si="5"/>
        <v>#DIV/0!</v>
      </c>
    </row>
    <row r="141" spans="6:7" x14ac:dyDescent="0.25">
      <c r="F141" s="3" t="e">
        <f t="shared" si="4"/>
        <v>#DIV/0!</v>
      </c>
      <c r="G141" s="4" t="e">
        <f t="shared" si="5"/>
        <v>#DIV/0!</v>
      </c>
    </row>
    <row r="142" spans="6:7" x14ac:dyDescent="0.25">
      <c r="F142" s="3" t="e">
        <f t="shared" si="4"/>
        <v>#DIV/0!</v>
      </c>
      <c r="G142" s="4" t="e">
        <f t="shared" si="5"/>
        <v>#DIV/0!</v>
      </c>
    </row>
    <row r="143" spans="6:7" x14ac:dyDescent="0.25">
      <c r="F143" s="3" t="e">
        <f t="shared" si="4"/>
        <v>#DIV/0!</v>
      </c>
      <c r="G143" s="4" t="e">
        <f t="shared" si="5"/>
        <v>#DIV/0!</v>
      </c>
    </row>
    <row r="144" spans="6:7" x14ac:dyDescent="0.25">
      <c r="F144" s="3" t="e">
        <f t="shared" si="4"/>
        <v>#DIV/0!</v>
      </c>
      <c r="G144" s="4" t="e">
        <f t="shared" si="5"/>
        <v>#DIV/0!</v>
      </c>
    </row>
    <row r="145" spans="6:7" x14ac:dyDescent="0.25">
      <c r="F145" s="3" t="e">
        <f t="shared" si="4"/>
        <v>#DIV/0!</v>
      </c>
      <c r="G145" s="4" t="e">
        <f t="shared" si="5"/>
        <v>#DIV/0!</v>
      </c>
    </row>
    <row r="146" spans="6:7" x14ac:dyDescent="0.25">
      <c r="F146" s="3" t="e">
        <f t="shared" si="4"/>
        <v>#DIV/0!</v>
      </c>
      <c r="G146" s="4" t="e">
        <f t="shared" si="5"/>
        <v>#DIV/0!</v>
      </c>
    </row>
    <row r="147" spans="6:7" x14ac:dyDescent="0.25">
      <c r="F147" s="3" t="e">
        <f t="shared" si="4"/>
        <v>#DIV/0!</v>
      </c>
      <c r="G147" s="4" t="e">
        <f t="shared" si="5"/>
        <v>#DIV/0!</v>
      </c>
    </row>
    <row r="148" spans="6:7" x14ac:dyDescent="0.25">
      <c r="F148" s="3" t="e">
        <f t="shared" si="4"/>
        <v>#DIV/0!</v>
      </c>
      <c r="G148" s="4" t="e">
        <f t="shared" si="5"/>
        <v>#DIV/0!</v>
      </c>
    </row>
    <row r="149" spans="6:7" x14ac:dyDescent="0.25">
      <c r="F149" s="3" t="e">
        <f t="shared" si="4"/>
        <v>#DIV/0!</v>
      </c>
      <c r="G149" s="4" t="e">
        <f t="shared" si="5"/>
        <v>#DIV/0!</v>
      </c>
    </row>
    <row r="150" spans="6:7" x14ac:dyDescent="0.25">
      <c r="F150" s="3" t="e">
        <f t="shared" si="4"/>
        <v>#DIV/0!</v>
      </c>
      <c r="G150" s="4" t="e">
        <f t="shared" si="5"/>
        <v>#DIV/0!</v>
      </c>
    </row>
    <row r="151" spans="6:7" x14ac:dyDescent="0.25">
      <c r="F151" s="3" t="e">
        <f t="shared" si="4"/>
        <v>#DIV/0!</v>
      </c>
      <c r="G151" s="4" t="e">
        <f t="shared" si="5"/>
        <v>#DIV/0!</v>
      </c>
    </row>
    <row r="152" spans="6:7" x14ac:dyDescent="0.25">
      <c r="F152" s="3" t="e">
        <f t="shared" si="4"/>
        <v>#DIV/0!</v>
      </c>
      <c r="G152" s="4" t="e">
        <f t="shared" si="5"/>
        <v>#DIV/0!</v>
      </c>
    </row>
    <row r="153" spans="6:7" x14ac:dyDescent="0.25">
      <c r="F153" s="3" t="e">
        <f t="shared" si="4"/>
        <v>#DIV/0!</v>
      </c>
      <c r="G153" s="4" t="e">
        <f t="shared" si="5"/>
        <v>#DIV/0!</v>
      </c>
    </row>
    <row r="154" spans="6:7" x14ac:dyDescent="0.25">
      <c r="F154" s="3" t="e">
        <f t="shared" si="4"/>
        <v>#DIV/0!</v>
      </c>
      <c r="G154" s="4" t="e">
        <f t="shared" si="5"/>
        <v>#DIV/0!</v>
      </c>
    </row>
    <row r="155" spans="6:7" x14ac:dyDescent="0.25">
      <c r="F155" s="3" t="e">
        <f t="shared" si="4"/>
        <v>#DIV/0!</v>
      </c>
      <c r="G155" s="4" t="e">
        <f t="shared" si="5"/>
        <v>#DIV/0!</v>
      </c>
    </row>
    <row r="156" spans="6:7" x14ac:dyDescent="0.25">
      <c r="F156" s="3" t="e">
        <f t="shared" si="4"/>
        <v>#DIV/0!</v>
      </c>
      <c r="G156" s="4" t="e">
        <f t="shared" si="5"/>
        <v>#DIV/0!</v>
      </c>
    </row>
    <row r="157" spans="6:7" x14ac:dyDescent="0.25">
      <c r="F157" s="3" t="e">
        <f t="shared" si="4"/>
        <v>#DIV/0!</v>
      </c>
      <c r="G157" s="4" t="e">
        <f t="shared" si="5"/>
        <v>#DIV/0!</v>
      </c>
    </row>
    <row r="158" spans="6:7" x14ac:dyDescent="0.25">
      <c r="F158" s="3" t="e">
        <f t="shared" si="4"/>
        <v>#DIV/0!</v>
      </c>
      <c r="G158" s="4" t="e">
        <f t="shared" si="5"/>
        <v>#DIV/0!</v>
      </c>
    </row>
    <row r="159" spans="6:7" x14ac:dyDescent="0.25">
      <c r="F159" s="3" t="e">
        <f t="shared" si="4"/>
        <v>#DIV/0!</v>
      </c>
      <c r="G159" s="4" t="e">
        <f t="shared" si="5"/>
        <v>#DIV/0!</v>
      </c>
    </row>
    <row r="160" spans="6:7" x14ac:dyDescent="0.25">
      <c r="F160" s="3" t="e">
        <f t="shared" si="4"/>
        <v>#DIV/0!</v>
      </c>
      <c r="G160" s="4" t="e">
        <f t="shared" si="5"/>
        <v>#DIV/0!</v>
      </c>
    </row>
    <row r="161" spans="6:7" x14ac:dyDescent="0.25">
      <c r="F161" s="3" t="e">
        <f t="shared" si="4"/>
        <v>#DIV/0!</v>
      </c>
      <c r="G161" s="4" t="e">
        <f t="shared" si="5"/>
        <v>#DIV/0!</v>
      </c>
    </row>
    <row r="162" spans="6:7" x14ac:dyDescent="0.25">
      <c r="F162" s="3" t="e">
        <f t="shared" si="4"/>
        <v>#DIV/0!</v>
      </c>
      <c r="G162" s="4" t="e">
        <f t="shared" si="5"/>
        <v>#DIV/0!</v>
      </c>
    </row>
    <row r="163" spans="6:7" x14ac:dyDescent="0.25">
      <c r="F163" s="3" t="e">
        <f t="shared" si="4"/>
        <v>#DIV/0!</v>
      </c>
      <c r="G163" s="4" t="e">
        <f t="shared" si="5"/>
        <v>#DIV/0!</v>
      </c>
    </row>
    <row r="164" spans="6:7" x14ac:dyDescent="0.25">
      <c r="F164" s="3" t="e">
        <f t="shared" si="4"/>
        <v>#DIV/0!</v>
      </c>
      <c r="G164" s="4" t="e">
        <f t="shared" si="5"/>
        <v>#DIV/0!</v>
      </c>
    </row>
    <row r="165" spans="6:7" x14ac:dyDescent="0.25">
      <c r="F165" s="3" t="e">
        <f t="shared" si="4"/>
        <v>#DIV/0!</v>
      </c>
      <c r="G165" s="4" t="e">
        <f t="shared" si="5"/>
        <v>#DIV/0!</v>
      </c>
    </row>
    <row r="166" spans="6:7" x14ac:dyDescent="0.25">
      <c r="F166" s="3" t="e">
        <f t="shared" si="4"/>
        <v>#DIV/0!</v>
      </c>
      <c r="G166" s="4" t="e">
        <f t="shared" si="5"/>
        <v>#DIV/0!</v>
      </c>
    </row>
    <row r="167" spans="6:7" x14ac:dyDescent="0.25">
      <c r="F167" s="3" t="e">
        <f t="shared" si="4"/>
        <v>#DIV/0!</v>
      </c>
      <c r="G167" s="4" t="e">
        <f t="shared" si="5"/>
        <v>#DIV/0!</v>
      </c>
    </row>
    <row r="168" spans="6:7" x14ac:dyDescent="0.25">
      <c r="F168" s="3" t="e">
        <f t="shared" si="4"/>
        <v>#DIV/0!</v>
      </c>
      <c r="G168" s="4" t="e">
        <f t="shared" si="5"/>
        <v>#DIV/0!</v>
      </c>
    </row>
    <row r="169" spans="6:7" x14ac:dyDescent="0.25">
      <c r="F169" s="3" t="e">
        <f t="shared" si="4"/>
        <v>#DIV/0!</v>
      </c>
      <c r="G169" s="4" t="e">
        <f t="shared" si="5"/>
        <v>#DIV/0!</v>
      </c>
    </row>
    <row r="170" spans="6:7" x14ac:dyDescent="0.25">
      <c r="F170" s="3" t="e">
        <f t="shared" si="4"/>
        <v>#DIV/0!</v>
      </c>
      <c r="G170" s="4" t="e">
        <f t="shared" si="5"/>
        <v>#DIV/0!</v>
      </c>
    </row>
    <row r="171" spans="6:7" x14ac:dyDescent="0.25">
      <c r="F171" s="3" t="e">
        <f t="shared" si="4"/>
        <v>#DIV/0!</v>
      </c>
      <c r="G171" s="4" t="e">
        <f t="shared" si="5"/>
        <v>#DIV/0!</v>
      </c>
    </row>
    <row r="172" spans="6:7" x14ac:dyDescent="0.25">
      <c r="F172" s="3" t="e">
        <f t="shared" si="4"/>
        <v>#DIV/0!</v>
      </c>
      <c r="G172" s="4" t="e">
        <f t="shared" si="5"/>
        <v>#DIV/0!</v>
      </c>
    </row>
    <row r="173" spans="6:7" x14ac:dyDescent="0.25">
      <c r="F173" s="3" t="e">
        <f t="shared" si="4"/>
        <v>#DIV/0!</v>
      </c>
      <c r="G173" s="4" t="e">
        <f t="shared" si="5"/>
        <v>#DIV/0!</v>
      </c>
    </row>
    <row r="174" spans="6:7" x14ac:dyDescent="0.25">
      <c r="F174" s="3" t="e">
        <f t="shared" si="4"/>
        <v>#DIV/0!</v>
      </c>
      <c r="G174" s="4" t="e">
        <f t="shared" si="5"/>
        <v>#DIV/0!</v>
      </c>
    </row>
    <row r="175" spans="6:7" x14ac:dyDescent="0.25">
      <c r="F175" s="3" t="e">
        <f t="shared" si="4"/>
        <v>#DIV/0!</v>
      </c>
      <c r="G175" s="4" t="e">
        <f t="shared" si="5"/>
        <v>#DIV/0!</v>
      </c>
    </row>
    <row r="176" spans="6:7" x14ac:dyDescent="0.25">
      <c r="F176" s="3" t="e">
        <f t="shared" si="4"/>
        <v>#DIV/0!</v>
      </c>
      <c r="G176" s="4" t="e">
        <f t="shared" si="5"/>
        <v>#DIV/0!</v>
      </c>
    </row>
    <row r="177" spans="6:7" x14ac:dyDescent="0.25">
      <c r="F177" s="3" t="e">
        <f t="shared" si="4"/>
        <v>#DIV/0!</v>
      </c>
      <c r="G177" s="4" t="e">
        <f t="shared" si="5"/>
        <v>#DIV/0!</v>
      </c>
    </row>
    <row r="178" spans="6:7" x14ac:dyDescent="0.25">
      <c r="F178" s="3" t="e">
        <f t="shared" si="4"/>
        <v>#DIV/0!</v>
      </c>
      <c r="G178" s="4" t="e">
        <f t="shared" si="5"/>
        <v>#DIV/0!</v>
      </c>
    </row>
    <row r="179" spans="6:7" x14ac:dyDescent="0.25">
      <c r="F179" s="3" t="e">
        <f t="shared" si="4"/>
        <v>#DIV/0!</v>
      </c>
      <c r="G179" s="4" t="e">
        <f t="shared" si="5"/>
        <v>#DIV/0!</v>
      </c>
    </row>
    <row r="180" spans="6:7" x14ac:dyDescent="0.25">
      <c r="F180" s="3" t="e">
        <f t="shared" si="4"/>
        <v>#DIV/0!</v>
      </c>
      <c r="G180" s="4" t="e">
        <f t="shared" si="5"/>
        <v>#DIV/0!</v>
      </c>
    </row>
    <row r="181" spans="6:7" x14ac:dyDescent="0.25">
      <c r="F181" s="3" t="e">
        <f t="shared" si="4"/>
        <v>#DIV/0!</v>
      </c>
      <c r="G181" s="4" t="e">
        <f t="shared" si="5"/>
        <v>#DIV/0!</v>
      </c>
    </row>
    <row r="182" spans="6:7" x14ac:dyDescent="0.25">
      <c r="F182" s="3" t="e">
        <f t="shared" si="4"/>
        <v>#DIV/0!</v>
      </c>
      <c r="G182" s="4" t="e">
        <f t="shared" si="5"/>
        <v>#DIV/0!</v>
      </c>
    </row>
    <row r="183" spans="6:7" x14ac:dyDescent="0.25">
      <c r="F183" s="3" t="e">
        <f t="shared" si="4"/>
        <v>#DIV/0!</v>
      </c>
      <c r="G183" s="4" t="e">
        <f t="shared" si="5"/>
        <v>#DIV/0!</v>
      </c>
    </row>
    <row r="184" spans="6:7" x14ac:dyDescent="0.25">
      <c r="F184" s="3" t="e">
        <f t="shared" si="4"/>
        <v>#DIV/0!</v>
      </c>
      <c r="G184" s="4" t="e">
        <f t="shared" si="5"/>
        <v>#DIV/0!</v>
      </c>
    </row>
    <row r="185" spans="6:7" x14ac:dyDescent="0.25">
      <c r="F185" s="3" t="e">
        <f t="shared" si="4"/>
        <v>#DIV/0!</v>
      </c>
      <c r="G185" s="4" t="e">
        <f t="shared" si="5"/>
        <v>#DIV/0!</v>
      </c>
    </row>
    <row r="186" spans="6:7" x14ac:dyDescent="0.25">
      <c r="F186" s="3" t="e">
        <f t="shared" si="4"/>
        <v>#DIV/0!</v>
      </c>
      <c r="G186" s="4" t="e">
        <f t="shared" si="5"/>
        <v>#DIV/0!</v>
      </c>
    </row>
    <row r="187" spans="6:7" x14ac:dyDescent="0.25">
      <c r="F187" s="3" t="e">
        <f t="shared" si="4"/>
        <v>#DIV/0!</v>
      </c>
      <c r="G187" s="4" t="e">
        <f t="shared" si="5"/>
        <v>#DIV/0!</v>
      </c>
    </row>
    <row r="188" spans="6:7" x14ac:dyDescent="0.25">
      <c r="F188" s="3" t="e">
        <f t="shared" si="4"/>
        <v>#DIV/0!</v>
      </c>
      <c r="G188" s="4" t="e">
        <f t="shared" si="5"/>
        <v>#DIV/0!</v>
      </c>
    </row>
    <row r="189" spans="6:7" x14ac:dyDescent="0.25">
      <c r="F189" s="3" t="e">
        <f t="shared" si="4"/>
        <v>#DIV/0!</v>
      </c>
      <c r="G189" s="4" t="e">
        <f t="shared" si="5"/>
        <v>#DIV/0!</v>
      </c>
    </row>
    <row r="190" spans="6:7" x14ac:dyDescent="0.25">
      <c r="F190" s="3" t="e">
        <f t="shared" si="4"/>
        <v>#DIV/0!</v>
      </c>
      <c r="G190" s="4" t="e">
        <f t="shared" si="5"/>
        <v>#DIV/0!</v>
      </c>
    </row>
    <row r="191" spans="6:7" x14ac:dyDescent="0.25">
      <c r="F191" s="3" t="e">
        <f t="shared" si="4"/>
        <v>#DIV/0!</v>
      </c>
      <c r="G191" s="4" t="e">
        <f t="shared" si="5"/>
        <v>#DIV/0!</v>
      </c>
    </row>
    <row r="192" spans="6:7" x14ac:dyDescent="0.25">
      <c r="F192" s="3" t="e">
        <f t="shared" si="4"/>
        <v>#DIV/0!</v>
      </c>
      <c r="G192" s="4" t="e">
        <f t="shared" si="5"/>
        <v>#DIV/0!</v>
      </c>
    </row>
    <row r="193" spans="6:7" x14ac:dyDescent="0.25">
      <c r="F193" s="3" t="e">
        <f t="shared" si="4"/>
        <v>#DIV/0!</v>
      </c>
      <c r="G193" s="4" t="e">
        <f t="shared" si="5"/>
        <v>#DIV/0!</v>
      </c>
    </row>
    <row r="194" spans="6:7" x14ac:dyDescent="0.25">
      <c r="F194" s="3" t="e">
        <f t="shared" si="4"/>
        <v>#DIV/0!</v>
      </c>
      <c r="G194" s="4" t="e">
        <f t="shared" si="5"/>
        <v>#DIV/0!</v>
      </c>
    </row>
    <row r="195" spans="6:7" x14ac:dyDescent="0.25">
      <c r="F195" s="3" t="e">
        <f t="shared" ref="F195:F258" si="6">ROUNDUP((C195)/D195,0)</f>
        <v>#DIV/0!</v>
      </c>
      <c r="G195" s="4" t="e">
        <f t="shared" ref="G195:G258" si="7">F195*E195</f>
        <v>#DIV/0!</v>
      </c>
    </row>
    <row r="196" spans="6:7" x14ac:dyDescent="0.25">
      <c r="F196" s="3" t="e">
        <f t="shared" si="6"/>
        <v>#DIV/0!</v>
      </c>
      <c r="G196" s="4" t="e">
        <f t="shared" si="7"/>
        <v>#DIV/0!</v>
      </c>
    </row>
    <row r="197" spans="6:7" x14ac:dyDescent="0.25">
      <c r="F197" s="3" t="e">
        <f t="shared" si="6"/>
        <v>#DIV/0!</v>
      </c>
      <c r="G197" s="4" t="e">
        <f t="shared" si="7"/>
        <v>#DIV/0!</v>
      </c>
    </row>
    <row r="198" spans="6:7" x14ac:dyDescent="0.25">
      <c r="F198" s="3" t="e">
        <f t="shared" si="6"/>
        <v>#DIV/0!</v>
      </c>
      <c r="G198" s="4" t="e">
        <f t="shared" si="7"/>
        <v>#DIV/0!</v>
      </c>
    </row>
    <row r="199" spans="6:7" x14ac:dyDescent="0.25">
      <c r="F199" s="3" t="e">
        <f t="shared" si="6"/>
        <v>#DIV/0!</v>
      </c>
      <c r="G199" s="4" t="e">
        <f t="shared" si="7"/>
        <v>#DIV/0!</v>
      </c>
    </row>
    <row r="200" spans="6:7" x14ac:dyDescent="0.25">
      <c r="F200" s="3" t="e">
        <f t="shared" si="6"/>
        <v>#DIV/0!</v>
      </c>
      <c r="G200" s="4" t="e">
        <f t="shared" si="7"/>
        <v>#DIV/0!</v>
      </c>
    </row>
    <row r="201" spans="6:7" x14ac:dyDescent="0.25">
      <c r="F201" s="3" t="e">
        <f t="shared" si="6"/>
        <v>#DIV/0!</v>
      </c>
      <c r="G201" s="4" t="e">
        <f t="shared" si="7"/>
        <v>#DIV/0!</v>
      </c>
    </row>
    <row r="202" spans="6:7" x14ac:dyDescent="0.25">
      <c r="F202" s="3" t="e">
        <f t="shared" si="6"/>
        <v>#DIV/0!</v>
      </c>
      <c r="G202" s="4" t="e">
        <f t="shared" si="7"/>
        <v>#DIV/0!</v>
      </c>
    </row>
    <row r="203" spans="6:7" x14ac:dyDescent="0.25">
      <c r="F203" s="3" t="e">
        <f t="shared" si="6"/>
        <v>#DIV/0!</v>
      </c>
      <c r="G203" s="4" t="e">
        <f t="shared" si="7"/>
        <v>#DIV/0!</v>
      </c>
    </row>
    <row r="204" spans="6:7" x14ac:dyDescent="0.25">
      <c r="F204" s="3" t="e">
        <f t="shared" si="6"/>
        <v>#DIV/0!</v>
      </c>
      <c r="G204" s="4" t="e">
        <f t="shared" si="7"/>
        <v>#DIV/0!</v>
      </c>
    </row>
    <row r="205" spans="6:7" x14ac:dyDescent="0.25">
      <c r="F205" s="3" t="e">
        <f t="shared" si="6"/>
        <v>#DIV/0!</v>
      </c>
      <c r="G205" s="4" t="e">
        <f t="shared" si="7"/>
        <v>#DIV/0!</v>
      </c>
    </row>
    <row r="206" spans="6:7" x14ac:dyDescent="0.25">
      <c r="F206" s="3" t="e">
        <f t="shared" si="6"/>
        <v>#DIV/0!</v>
      </c>
      <c r="G206" s="4" t="e">
        <f t="shared" si="7"/>
        <v>#DIV/0!</v>
      </c>
    </row>
    <row r="207" spans="6:7" x14ac:dyDescent="0.25">
      <c r="F207" s="3" t="e">
        <f t="shared" si="6"/>
        <v>#DIV/0!</v>
      </c>
      <c r="G207" s="4" t="e">
        <f t="shared" si="7"/>
        <v>#DIV/0!</v>
      </c>
    </row>
    <row r="208" spans="6:7" x14ac:dyDescent="0.25">
      <c r="F208" s="3" t="e">
        <f t="shared" si="6"/>
        <v>#DIV/0!</v>
      </c>
      <c r="G208" s="4" t="e">
        <f t="shared" si="7"/>
        <v>#DIV/0!</v>
      </c>
    </row>
    <row r="209" spans="6:7" x14ac:dyDescent="0.25">
      <c r="F209" s="3" t="e">
        <f t="shared" si="6"/>
        <v>#DIV/0!</v>
      </c>
      <c r="G209" s="4" t="e">
        <f t="shared" si="7"/>
        <v>#DIV/0!</v>
      </c>
    </row>
    <row r="210" spans="6:7" x14ac:dyDescent="0.25">
      <c r="F210" s="3" t="e">
        <f t="shared" si="6"/>
        <v>#DIV/0!</v>
      </c>
      <c r="G210" s="4" t="e">
        <f t="shared" si="7"/>
        <v>#DIV/0!</v>
      </c>
    </row>
    <row r="211" spans="6:7" x14ac:dyDescent="0.25">
      <c r="F211" s="3" t="e">
        <f t="shared" si="6"/>
        <v>#DIV/0!</v>
      </c>
      <c r="G211" s="4" t="e">
        <f t="shared" si="7"/>
        <v>#DIV/0!</v>
      </c>
    </row>
    <row r="212" spans="6:7" x14ac:dyDescent="0.25">
      <c r="F212" s="3" t="e">
        <f t="shared" si="6"/>
        <v>#DIV/0!</v>
      </c>
      <c r="G212" s="4" t="e">
        <f t="shared" si="7"/>
        <v>#DIV/0!</v>
      </c>
    </row>
    <row r="213" spans="6:7" x14ac:dyDescent="0.25">
      <c r="F213" s="3" t="e">
        <f t="shared" si="6"/>
        <v>#DIV/0!</v>
      </c>
      <c r="G213" s="4" t="e">
        <f t="shared" si="7"/>
        <v>#DIV/0!</v>
      </c>
    </row>
    <row r="214" spans="6:7" x14ac:dyDescent="0.25">
      <c r="F214" s="3" t="e">
        <f t="shared" si="6"/>
        <v>#DIV/0!</v>
      </c>
      <c r="G214" s="4" t="e">
        <f t="shared" si="7"/>
        <v>#DIV/0!</v>
      </c>
    </row>
    <row r="215" spans="6:7" x14ac:dyDescent="0.25">
      <c r="F215" s="3" t="e">
        <f t="shared" si="6"/>
        <v>#DIV/0!</v>
      </c>
      <c r="G215" s="4" t="e">
        <f t="shared" si="7"/>
        <v>#DIV/0!</v>
      </c>
    </row>
    <row r="216" spans="6:7" x14ac:dyDescent="0.25">
      <c r="F216" s="3" t="e">
        <f t="shared" si="6"/>
        <v>#DIV/0!</v>
      </c>
      <c r="G216" s="4" t="e">
        <f t="shared" si="7"/>
        <v>#DIV/0!</v>
      </c>
    </row>
    <row r="217" spans="6:7" x14ac:dyDescent="0.25">
      <c r="F217" s="3" t="e">
        <f t="shared" si="6"/>
        <v>#DIV/0!</v>
      </c>
      <c r="G217" s="4" t="e">
        <f t="shared" si="7"/>
        <v>#DIV/0!</v>
      </c>
    </row>
    <row r="218" spans="6:7" x14ac:dyDescent="0.25">
      <c r="F218" s="3" t="e">
        <f t="shared" si="6"/>
        <v>#DIV/0!</v>
      </c>
      <c r="G218" s="4" t="e">
        <f t="shared" si="7"/>
        <v>#DIV/0!</v>
      </c>
    </row>
    <row r="219" spans="6:7" x14ac:dyDescent="0.25">
      <c r="F219" s="3" t="e">
        <f t="shared" si="6"/>
        <v>#DIV/0!</v>
      </c>
      <c r="G219" s="4" t="e">
        <f t="shared" si="7"/>
        <v>#DIV/0!</v>
      </c>
    </row>
    <row r="220" spans="6:7" x14ac:dyDescent="0.25">
      <c r="F220" s="3" t="e">
        <f t="shared" si="6"/>
        <v>#DIV/0!</v>
      </c>
      <c r="G220" s="4" t="e">
        <f t="shared" si="7"/>
        <v>#DIV/0!</v>
      </c>
    </row>
    <row r="221" spans="6:7" x14ac:dyDescent="0.25">
      <c r="F221" s="3" t="e">
        <f t="shared" si="6"/>
        <v>#DIV/0!</v>
      </c>
      <c r="G221" s="4" t="e">
        <f t="shared" si="7"/>
        <v>#DIV/0!</v>
      </c>
    </row>
    <row r="222" spans="6:7" x14ac:dyDescent="0.25">
      <c r="F222" s="3" t="e">
        <f t="shared" si="6"/>
        <v>#DIV/0!</v>
      </c>
      <c r="G222" s="4" t="e">
        <f t="shared" si="7"/>
        <v>#DIV/0!</v>
      </c>
    </row>
    <row r="223" spans="6:7" x14ac:dyDescent="0.25">
      <c r="F223" s="3" t="e">
        <f t="shared" si="6"/>
        <v>#DIV/0!</v>
      </c>
      <c r="G223" s="4" t="e">
        <f t="shared" si="7"/>
        <v>#DIV/0!</v>
      </c>
    </row>
    <row r="224" spans="6:7" x14ac:dyDescent="0.25">
      <c r="F224" s="3" t="e">
        <f t="shared" si="6"/>
        <v>#DIV/0!</v>
      </c>
      <c r="G224" s="4" t="e">
        <f t="shared" si="7"/>
        <v>#DIV/0!</v>
      </c>
    </row>
    <row r="225" spans="6:7" x14ac:dyDescent="0.25">
      <c r="F225" s="3" t="e">
        <f t="shared" si="6"/>
        <v>#DIV/0!</v>
      </c>
      <c r="G225" s="4" t="e">
        <f t="shared" si="7"/>
        <v>#DIV/0!</v>
      </c>
    </row>
    <row r="226" spans="6:7" x14ac:dyDescent="0.25">
      <c r="F226" s="3" t="e">
        <f t="shared" si="6"/>
        <v>#DIV/0!</v>
      </c>
      <c r="G226" s="4" t="e">
        <f t="shared" si="7"/>
        <v>#DIV/0!</v>
      </c>
    </row>
    <row r="227" spans="6:7" x14ac:dyDescent="0.25">
      <c r="F227" s="3" t="e">
        <f t="shared" si="6"/>
        <v>#DIV/0!</v>
      </c>
      <c r="G227" s="4" t="e">
        <f t="shared" si="7"/>
        <v>#DIV/0!</v>
      </c>
    </row>
    <row r="228" spans="6:7" x14ac:dyDescent="0.25">
      <c r="F228" s="3" t="e">
        <f t="shared" si="6"/>
        <v>#DIV/0!</v>
      </c>
      <c r="G228" s="4" t="e">
        <f t="shared" si="7"/>
        <v>#DIV/0!</v>
      </c>
    </row>
    <row r="229" spans="6:7" x14ac:dyDescent="0.25">
      <c r="F229" s="3" t="e">
        <f t="shared" si="6"/>
        <v>#DIV/0!</v>
      </c>
      <c r="G229" s="4" t="e">
        <f t="shared" si="7"/>
        <v>#DIV/0!</v>
      </c>
    </row>
    <row r="230" spans="6:7" x14ac:dyDescent="0.25">
      <c r="F230" s="3" t="e">
        <f t="shared" si="6"/>
        <v>#DIV/0!</v>
      </c>
      <c r="G230" s="4" t="e">
        <f t="shared" si="7"/>
        <v>#DIV/0!</v>
      </c>
    </row>
    <row r="231" spans="6:7" x14ac:dyDescent="0.25">
      <c r="F231" s="3" t="e">
        <f t="shared" si="6"/>
        <v>#DIV/0!</v>
      </c>
      <c r="G231" s="4" t="e">
        <f t="shared" si="7"/>
        <v>#DIV/0!</v>
      </c>
    </row>
    <row r="232" spans="6:7" x14ac:dyDescent="0.25">
      <c r="F232" s="3" t="e">
        <f t="shared" si="6"/>
        <v>#DIV/0!</v>
      </c>
      <c r="G232" s="4" t="e">
        <f t="shared" si="7"/>
        <v>#DIV/0!</v>
      </c>
    </row>
    <row r="233" spans="6:7" x14ac:dyDescent="0.25">
      <c r="F233" s="3" t="e">
        <f t="shared" si="6"/>
        <v>#DIV/0!</v>
      </c>
      <c r="G233" s="4" t="e">
        <f t="shared" si="7"/>
        <v>#DIV/0!</v>
      </c>
    </row>
    <row r="234" spans="6:7" x14ac:dyDescent="0.25">
      <c r="F234" s="3" t="e">
        <f t="shared" si="6"/>
        <v>#DIV/0!</v>
      </c>
      <c r="G234" s="4" t="e">
        <f t="shared" si="7"/>
        <v>#DIV/0!</v>
      </c>
    </row>
    <row r="235" spans="6:7" x14ac:dyDescent="0.25">
      <c r="F235" s="3" t="e">
        <f t="shared" si="6"/>
        <v>#DIV/0!</v>
      </c>
      <c r="G235" s="4" t="e">
        <f t="shared" si="7"/>
        <v>#DIV/0!</v>
      </c>
    </row>
    <row r="236" spans="6:7" x14ac:dyDescent="0.25">
      <c r="F236" s="3" t="e">
        <f t="shared" si="6"/>
        <v>#DIV/0!</v>
      </c>
      <c r="G236" s="4" t="e">
        <f t="shared" si="7"/>
        <v>#DIV/0!</v>
      </c>
    </row>
    <row r="237" spans="6:7" x14ac:dyDescent="0.25">
      <c r="F237" s="3" t="e">
        <f t="shared" si="6"/>
        <v>#DIV/0!</v>
      </c>
      <c r="G237" s="4" t="e">
        <f t="shared" si="7"/>
        <v>#DIV/0!</v>
      </c>
    </row>
    <row r="238" spans="6:7" x14ac:dyDescent="0.25">
      <c r="F238" s="3" t="e">
        <f t="shared" si="6"/>
        <v>#DIV/0!</v>
      </c>
      <c r="G238" s="4" t="e">
        <f t="shared" si="7"/>
        <v>#DIV/0!</v>
      </c>
    </row>
    <row r="239" spans="6:7" x14ac:dyDescent="0.25">
      <c r="F239" s="3" t="e">
        <f t="shared" si="6"/>
        <v>#DIV/0!</v>
      </c>
      <c r="G239" s="4" t="e">
        <f t="shared" si="7"/>
        <v>#DIV/0!</v>
      </c>
    </row>
    <row r="240" spans="6:7" x14ac:dyDescent="0.25">
      <c r="F240" s="3" t="e">
        <f t="shared" si="6"/>
        <v>#DIV/0!</v>
      </c>
      <c r="G240" s="4" t="e">
        <f t="shared" si="7"/>
        <v>#DIV/0!</v>
      </c>
    </row>
    <row r="241" spans="6:7" x14ac:dyDescent="0.25">
      <c r="F241" s="3" t="e">
        <f t="shared" si="6"/>
        <v>#DIV/0!</v>
      </c>
      <c r="G241" s="4" t="e">
        <f t="shared" si="7"/>
        <v>#DIV/0!</v>
      </c>
    </row>
    <row r="242" spans="6:7" x14ac:dyDescent="0.25">
      <c r="F242" s="3" t="e">
        <f t="shared" si="6"/>
        <v>#DIV/0!</v>
      </c>
      <c r="G242" s="4" t="e">
        <f t="shared" si="7"/>
        <v>#DIV/0!</v>
      </c>
    </row>
    <row r="243" spans="6:7" x14ac:dyDescent="0.25">
      <c r="F243" s="3" t="e">
        <f t="shared" si="6"/>
        <v>#DIV/0!</v>
      </c>
      <c r="G243" s="4" t="e">
        <f t="shared" si="7"/>
        <v>#DIV/0!</v>
      </c>
    </row>
    <row r="244" spans="6:7" x14ac:dyDescent="0.25">
      <c r="F244" s="3" t="e">
        <f t="shared" si="6"/>
        <v>#DIV/0!</v>
      </c>
      <c r="G244" s="4" t="e">
        <f t="shared" si="7"/>
        <v>#DIV/0!</v>
      </c>
    </row>
    <row r="245" spans="6:7" x14ac:dyDescent="0.25">
      <c r="F245" s="3" t="e">
        <f t="shared" si="6"/>
        <v>#DIV/0!</v>
      </c>
      <c r="G245" s="4" t="e">
        <f t="shared" si="7"/>
        <v>#DIV/0!</v>
      </c>
    </row>
    <row r="246" spans="6:7" x14ac:dyDescent="0.25">
      <c r="F246" s="3" t="e">
        <f t="shared" si="6"/>
        <v>#DIV/0!</v>
      </c>
      <c r="G246" s="4" t="e">
        <f t="shared" si="7"/>
        <v>#DIV/0!</v>
      </c>
    </row>
    <row r="247" spans="6:7" x14ac:dyDescent="0.25">
      <c r="F247" s="3" t="e">
        <f t="shared" si="6"/>
        <v>#DIV/0!</v>
      </c>
      <c r="G247" s="4" t="e">
        <f t="shared" si="7"/>
        <v>#DIV/0!</v>
      </c>
    </row>
    <row r="248" spans="6:7" x14ac:dyDescent="0.25">
      <c r="F248" s="3" t="e">
        <f t="shared" si="6"/>
        <v>#DIV/0!</v>
      </c>
      <c r="G248" s="4" t="e">
        <f t="shared" si="7"/>
        <v>#DIV/0!</v>
      </c>
    </row>
    <row r="249" spans="6:7" x14ac:dyDescent="0.25">
      <c r="F249" s="3" t="e">
        <f t="shared" si="6"/>
        <v>#DIV/0!</v>
      </c>
      <c r="G249" s="4" t="e">
        <f t="shared" si="7"/>
        <v>#DIV/0!</v>
      </c>
    </row>
    <row r="250" spans="6:7" x14ac:dyDescent="0.25">
      <c r="F250" s="3" t="e">
        <f t="shared" si="6"/>
        <v>#DIV/0!</v>
      </c>
      <c r="G250" s="4" t="e">
        <f t="shared" si="7"/>
        <v>#DIV/0!</v>
      </c>
    </row>
    <row r="251" spans="6:7" x14ac:dyDescent="0.25">
      <c r="F251" s="3" t="e">
        <f t="shared" si="6"/>
        <v>#DIV/0!</v>
      </c>
      <c r="G251" s="4" t="e">
        <f t="shared" si="7"/>
        <v>#DIV/0!</v>
      </c>
    </row>
    <row r="252" spans="6:7" x14ac:dyDescent="0.25">
      <c r="F252" s="3" t="e">
        <f t="shared" si="6"/>
        <v>#DIV/0!</v>
      </c>
      <c r="G252" s="4" t="e">
        <f t="shared" si="7"/>
        <v>#DIV/0!</v>
      </c>
    </row>
    <row r="253" spans="6:7" x14ac:dyDescent="0.25">
      <c r="F253" s="3" t="e">
        <f t="shared" si="6"/>
        <v>#DIV/0!</v>
      </c>
      <c r="G253" s="4" t="e">
        <f t="shared" si="7"/>
        <v>#DIV/0!</v>
      </c>
    </row>
    <row r="254" spans="6:7" x14ac:dyDescent="0.25">
      <c r="F254" s="3" t="e">
        <f t="shared" si="6"/>
        <v>#DIV/0!</v>
      </c>
      <c r="G254" s="4" t="e">
        <f t="shared" si="7"/>
        <v>#DIV/0!</v>
      </c>
    </row>
    <row r="255" spans="6:7" x14ac:dyDescent="0.25">
      <c r="F255" s="3" t="e">
        <f t="shared" si="6"/>
        <v>#DIV/0!</v>
      </c>
      <c r="G255" s="4" t="e">
        <f t="shared" si="7"/>
        <v>#DIV/0!</v>
      </c>
    </row>
    <row r="256" spans="6:7" x14ac:dyDescent="0.25">
      <c r="F256" s="3" t="e">
        <f t="shared" si="6"/>
        <v>#DIV/0!</v>
      </c>
      <c r="G256" s="4" t="e">
        <f t="shared" si="7"/>
        <v>#DIV/0!</v>
      </c>
    </row>
    <row r="257" spans="6:7" x14ac:dyDescent="0.25">
      <c r="F257" s="3" t="e">
        <f t="shared" si="6"/>
        <v>#DIV/0!</v>
      </c>
      <c r="G257" s="4" t="e">
        <f t="shared" si="7"/>
        <v>#DIV/0!</v>
      </c>
    </row>
    <row r="258" spans="6:7" x14ac:dyDescent="0.25">
      <c r="F258" s="3" t="e">
        <f t="shared" si="6"/>
        <v>#DIV/0!</v>
      </c>
      <c r="G258" s="4" t="e">
        <f t="shared" si="7"/>
        <v>#DIV/0!</v>
      </c>
    </row>
    <row r="259" spans="6:7" x14ac:dyDescent="0.25">
      <c r="F259" s="3" t="e">
        <f t="shared" ref="F259:F322" si="8">ROUNDUP((C259)/D259,0)</f>
        <v>#DIV/0!</v>
      </c>
      <c r="G259" s="4" t="e">
        <f t="shared" ref="G259:G322" si="9">F259*E259</f>
        <v>#DIV/0!</v>
      </c>
    </row>
    <row r="260" spans="6:7" x14ac:dyDescent="0.25">
      <c r="F260" s="3" t="e">
        <f t="shared" si="8"/>
        <v>#DIV/0!</v>
      </c>
      <c r="G260" s="4" t="e">
        <f t="shared" si="9"/>
        <v>#DIV/0!</v>
      </c>
    </row>
    <row r="261" spans="6:7" x14ac:dyDescent="0.25">
      <c r="F261" s="3" t="e">
        <f t="shared" si="8"/>
        <v>#DIV/0!</v>
      </c>
      <c r="G261" s="4" t="e">
        <f t="shared" si="9"/>
        <v>#DIV/0!</v>
      </c>
    </row>
    <row r="262" spans="6:7" x14ac:dyDescent="0.25">
      <c r="F262" s="3" t="e">
        <f t="shared" si="8"/>
        <v>#DIV/0!</v>
      </c>
      <c r="G262" s="4" t="e">
        <f t="shared" si="9"/>
        <v>#DIV/0!</v>
      </c>
    </row>
    <row r="263" spans="6:7" x14ac:dyDescent="0.25">
      <c r="F263" s="3" t="e">
        <f t="shared" si="8"/>
        <v>#DIV/0!</v>
      </c>
      <c r="G263" s="4" t="e">
        <f t="shared" si="9"/>
        <v>#DIV/0!</v>
      </c>
    </row>
    <row r="264" spans="6:7" x14ac:dyDescent="0.25">
      <c r="F264" s="3" t="e">
        <f t="shared" si="8"/>
        <v>#DIV/0!</v>
      </c>
      <c r="G264" s="4" t="e">
        <f t="shared" si="9"/>
        <v>#DIV/0!</v>
      </c>
    </row>
    <row r="265" spans="6:7" x14ac:dyDescent="0.25">
      <c r="F265" s="3" t="e">
        <f t="shared" si="8"/>
        <v>#DIV/0!</v>
      </c>
      <c r="G265" s="4" t="e">
        <f t="shared" si="9"/>
        <v>#DIV/0!</v>
      </c>
    </row>
    <row r="266" spans="6:7" x14ac:dyDescent="0.25">
      <c r="F266" s="3" t="e">
        <f t="shared" si="8"/>
        <v>#DIV/0!</v>
      </c>
      <c r="G266" s="4" t="e">
        <f t="shared" si="9"/>
        <v>#DIV/0!</v>
      </c>
    </row>
    <row r="267" spans="6:7" x14ac:dyDescent="0.25">
      <c r="F267" s="3" t="e">
        <f t="shared" si="8"/>
        <v>#DIV/0!</v>
      </c>
      <c r="G267" s="4" t="e">
        <f t="shared" si="9"/>
        <v>#DIV/0!</v>
      </c>
    </row>
    <row r="268" spans="6:7" x14ac:dyDescent="0.25">
      <c r="F268" s="3" t="e">
        <f t="shared" si="8"/>
        <v>#DIV/0!</v>
      </c>
      <c r="G268" s="4" t="e">
        <f t="shared" si="9"/>
        <v>#DIV/0!</v>
      </c>
    </row>
    <row r="269" spans="6:7" x14ac:dyDescent="0.25">
      <c r="F269" s="3" t="e">
        <f t="shared" si="8"/>
        <v>#DIV/0!</v>
      </c>
      <c r="G269" s="4" t="e">
        <f t="shared" si="9"/>
        <v>#DIV/0!</v>
      </c>
    </row>
    <row r="270" spans="6:7" x14ac:dyDescent="0.25">
      <c r="F270" s="3" t="e">
        <f t="shared" si="8"/>
        <v>#DIV/0!</v>
      </c>
      <c r="G270" s="4" t="e">
        <f t="shared" si="9"/>
        <v>#DIV/0!</v>
      </c>
    </row>
    <row r="271" spans="6:7" x14ac:dyDescent="0.25">
      <c r="F271" s="3" t="e">
        <f t="shared" si="8"/>
        <v>#DIV/0!</v>
      </c>
      <c r="G271" s="4" t="e">
        <f t="shared" si="9"/>
        <v>#DIV/0!</v>
      </c>
    </row>
    <row r="272" spans="6:7" x14ac:dyDescent="0.25">
      <c r="F272" s="3" t="e">
        <f t="shared" si="8"/>
        <v>#DIV/0!</v>
      </c>
      <c r="G272" s="4" t="e">
        <f t="shared" si="9"/>
        <v>#DIV/0!</v>
      </c>
    </row>
    <row r="273" spans="6:7" x14ac:dyDescent="0.25">
      <c r="F273" s="3" t="e">
        <f t="shared" si="8"/>
        <v>#DIV/0!</v>
      </c>
      <c r="G273" s="4" t="e">
        <f t="shared" si="9"/>
        <v>#DIV/0!</v>
      </c>
    </row>
    <row r="274" spans="6:7" x14ac:dyDescent="0.25">
      <c r="F274" s="3" t="e">
        <f t="shared" si="8"/>
        <v>#DIV/0!</v>
      </c>
      <c r="G274" s="4" t="e">
        <f t="shared" si="9"/>
        <v>#DIV/0!</v>
      </c>
    </row>
    <row r="275" spans="6:7" x14ac:dyDescent="0.25">
      <c r="F275" s="3" t="e">
        <f t="shared" si="8"/>
        <v>#DIV/0!</v>
      </c>
      <c r="G275" s="4" t="e">
        <f t="shared" si="9"/>
        <v>#DIV/0!</v>
      </c>
    </row>
    <row r="276" spans="6:7" x14ac:dyDescent="0.25">
      <c r="F276" s="3" t="e">
        <f t="shared" si="8"/>
        <v>#DIV/0!</v>
      </c>
      <c r="G276" s="4" t="e">
        <f t="shared" si="9"/>
        <v>#DIV/0!</v>
      </c>
    </row>
    <row r="277" spans="6:7" x14ac:dyDescent="0.25">
      <c r="F277" s="3" t="e">
        <f t="shared" si="8"/>
        <v>#DIV/0!</v>
      </c>
      <c r="G277" s="4" t="e">
        <f t="shared" si="9"/>
        <v>#DIV/0!</v>
      </c>
    </row>
    <row r="278" spans="6:7" x14ac:dyDescent="0.25">
      <c r="F278" s="3" t="e">
        <f t="shared" si="8"/>
        <v>#DIV/0!</v>
      </c>
      <c r="G278" s="4" t="e">
        <f t="shared" si="9"/>
        <v>#DIV/0!</v>
      </c>
    </row>
    <row r="279" spans="6:7" x14ac:dyDescent="0.25">
      <c r="F279" s="3" t="e">
        <f t="shared" si="8"/>
        <v>#DIV/0!</v>
      </c>
      <c r="G279" s="4" t="e">
        <f t="shared" si="9"/>
        <v>#DIV/0!</v>
      </c>
    </row>
    <row r="280" spans="6:7" x14ac:dyDescent="0.25">
      <c r="F280" s="3" t="e">
        <f t="shared" si="8"/>
        <v>#DIV/0!</v>
      </c>
      <c r="G280" s="4" t="e">
        <f t="shared" si="9"/>
        <v>#DIV/0!</v>
      </c>
    </row>
    <row r="281" spans="6:7" x14ac:dyDescent="0.25">
      <c r="F281" s="3" t="e">
        <f t="shared" si="8"/>
        <v>#DIV/0!</v>
      </c>
      <c r="G281" s="4" t="e">
        <f t="shared" si="9"/>
        <v>#DIV/0!</v>
      </c>
    </row>
    <row r="282" spans="6:7" x14ac:dyDescent="0.25">
      <c r="F282" s="3" t="e">
        <f t="shared" si="8"/>
        <v>#DIV/0!</v>
      </c>
      <c r="G282" s="4" t="e">
        <f t="shared" si="9"/>
        <v>#DIV/0!</v>
      </c>
    </row>
    <row r="283" spans="6:7" x14ac:dyDescent="0.25">
      <c r="F283" s="3" t="e">
        <f t="shared" si="8"/>
        <v>#DIV/0!</v>
      </c>
      <c r="G283" s="4" t="e">
        <f t="shared" si="9"/>
        <v>#DIV/0!</v>
      </c>
    </row>
    <row r="284" spans="6:7" x14ac:dyDescent="0.25">
      <c r="F284" s="3" t="e">
        <f t="shared" si="8"/>
        <v>#DIV/0!</v>
      </c>
      <c r="G284" s="4" t="e">
        <f t="shared" si="9"/>
        <v>#DIV/0!</v>
      </c>
    </row>
    <row r="285" spans="6:7" x14ac:dyDescent="0.25">
      <c r="F285" s="3" t="e">
        <f t="shared" si="8"/>
        <v>#DIV/0!</v>
      </c>
      <c r="G285" s="4" t="e">
        <f t="shared" si="9"/>
        <v>#DIV/0!</v>
      </c>
    </row>
    <row r="286" spans="6:7" x14ac:dyDescent="0.25">
      <c r="F286" s="3" t="e">
        <f t="shared" si="8"/>
        <v>#DIV/0!</v>
      </c>
      <c r="G286" s="4" t="e">
        <f t="shared" si="9"/>
        <v>#DIV/0!</v>
      </c>
    </row>
    <row r="287" spans="6:7" x14ac:dyDescent="0.25">
      <c r="F287" s="3" t="e">
        <f t="shared" si="8"/>
        <v>#DIV/0!</v>
      </c>
      <c r="G287" s="4" t="e">
        <f t="shared" si="9"/>
        <v>#DIV/0!</v>
      </c>
    </row>
    <row r="288" spans="6:7" x14ac:dyDescent="0.25">
      <c r="F288" s="3" t="e">
        <f t="shared" si="8"/>
        <v>#DIV/0!</v>
      </c>
      <c r="G288" s="4" t="e">
        <f t="shared" si="9"/>
        <v>#DIV/0!</v>
      </c>
    </row>
    <row r="289" spans="6:7" x14ac:dyDescent="0.25">
      <c r="F289" s="3" t="e">
        <f t="shared" si="8"/>
        <v>#DIV/0!</v>
      </c>
      <c r="G289" s="4" t="e">
        <f t="shared" si="9"/>
        <v>#DIV/0!</v>
      </c>
    </row>
    <row r="290" spans="6:7" x14ac:dyDescent="0.25">
      <c r="F290" s="3" t="e">
        <f t="shared" si="8"/>
        <v>#DIV/0!</v>
      </c>
      <c r="G290" s="4" t="e">
        <f t="shared" si="9"/>
        <v>#DIV/0!</v>
      </c>
    </row>
    <row r="291" spans="6:7" x14ac:dyDescent="0.25">
      <c r="F291" s="3" t="e">
        <f t="shared" si="8"/>
        <v>#DIV/0!</v>
      </c>
      <c r="G291" s="4" t="e">
        <f t="shared" si="9"/>
        <v>#DIV/0!</v>
      </c>
    </row>
    <row r="292" spans="6:7" x14ac:dyDescent="0.25">
      <c r="F292" s="3" t="e">
        <f t="shared" si="8"/>
        <v>#DIV/0!</v>
      </c>
      <c r="G292" s="4" t="e">
        <f t="shared" si="9"/>
        <v>#DIV/0!</v>
      </c>
    </row>
    <row r="293" spans="6:7" x14ac:dyDescent="0.25">
      <c r="F293" s="3" t="e">
        <f t="shared" si="8"/>
        <v>#DIV/0!</v>
      </c>
      <c r="G293" s="4" t="e">
        <f t="shared" si="9"/>
        <v>#DIV/0!</v>
      </c>
    </row>
    <row r="294" spans="6:7" x14ac:dyDescent="0.25">
      <c r="F294" s="3" t="e">
        <f t="shared" si="8"/>
        <v>#DIV/0!</v>
      </c>
      <c r="G294" s="4" t="e">
        <f t="shared" si="9"/>
        <v>#DIV/0!</v>
      </c>
    </row>
    <row r="295" spans="6:7" x14ac:dyDescent="0.25">
      <c r="F295" s="3" t="e">
        <f t="shared" si="8"/>
        <v>#DIV/0!</v>
      </c>
      <c r="G295" s="4" t="e">
        <f t="shared" si="9"/>
        <v>#DIV/0!</v>
      </c>
    </row>
    <row r="296" spans="6:7" x14ac:dyDescent="0.25">
      <c r="F296" s="3" t="e">
        <f t="shared" si="8"/>
        <v>#DIV/0!</v>
      </c>
      <c r="G296" s="4" t="e">
        <f t="shared" si="9"/>
        <v>#DIV/0!</v>
      </c>
    </row>
    <row r="297" spans="6:7" x14ac:dyDescent="0.25">
      <c r="F297" s="3" t="e">
        <f t="shared" si="8"/>
        <v>#DIV/0!</v>
      </c>
      <c r="G297" s="4" t="e">
        <f t="shared" si="9"/>
        <v>#DIV/0!</v>
      </c>
    </row>
    <row r="298" spans="6:7" x14ac:dyDescent="0.25">
      <c r="F298" s="3" t="e">
        <f t="shared" si="8"/>
        <v>#DIV/0!</v>
      </c>
      <c r="G298" s="4" t="e">
        <f t="shared" si="9"/>
        <v>#DIV/0!</v>
      </c>
    </row>
    <row r="299" spans="6:7" x14ac:dyDescent="0.25">
      <c r="F299" s="3" t="e">
        <f t="shared" si="8"/>
        <v>#DIV/0!</v>
      </c>
      <c r="G299" s="4" t="e">
        <f t="shared" si="9"/>
        <v>#DIV/0!</v>
      </c>
    </row>
    <row r="300" spans="6:7" x14ac:dyDescent="0.25">
      <c r="F300" s="3" t="e">
        <f t="shared" si="8"/>
        <v>#DIV/0!</v>
      </c>
      <c r="G300" s="4" t="e">
        <f t="shared" si="9"/>
        <v>#DIV/0!</v>
      </c>
    </row>
    <row r="301" spans="6:7" x14ac:dyDescent="0.25">
      <c r="F301" s="3" t="e">
        <f t="shared" si="8"/>
        <v>#DIV/0!</v>
      </c>
      <c r="G301" s="4" t="e">
        <f t="shared" si="9"/>
        <v>#DIV/0!</v>
      </c>
    </row>
    <row r="302" spans="6:7" x14ac:dyDescent="0.25">
      <c r="F302" s="3" t="e">
        <f t="shared" si="8"/>
        <v>#DIV/0!</v>
      </c>
      <c r="G302" s="4" t="e">
        <f t="shared" si="9"/>
        <v>#DIV/0!</v>
      </c>
    </row>
    <row r="303" spans="6:7" x14ac:dyDescent="0.25">
      <c r="F303" s="3" t="e">
        <f t="shared" si="8"/>
        <v>#DIV/0!</v>
      </c>
      <c r="G303" s="4" t="e">
        <f t="shared" si="9"/>
        <v>#DIV/0!</v>
      </c>
    </row>
    <row r="304" spans="6:7" x14ac:dyDescent="0.25">
      <c r="F304" s="3" t="e">
        <f t="shared" si="8"/>
        <v>#DIV/0!</v>
      </c>
      <c r="G304" s="4" t="e">
        <f t="shared" si="9"/>
        <v>#DIV/0!</v>
      </c>
    </row>
    <row r="305" spans="6:7" x14ac:dyDescent="0.25">
      <c r="F305" s="3" t="e">
        <f t="shared" si="8"/>
        <v>#DIV/0!</v>
      </c>
      <c r="G305" s="4" t="e">
        <f t="shared" si="9"/>
        <v>#DIV/0!</v>
      </c>
    </row>
    <row r="306" spans="6:7" x14ac:dyDescent="0.25">
      <c r="F306" s="3" t="e">
        <f t="shared" si="8"/>
        <v>#DIV/0!</v>
      </c>
      <c r="G306" s="4" t="e">
        <f t="shared" si="9"/>
        <v>#DIV/0!</v>
      </c>
    </row>
    <row r="307" spans="6:7" x14ac:dyDescent="0.25">
      <c r="F307" s="3" t="e">
        <f t="shared" si="8"/>
        <v>#DIV/0!</v>
      </c>
      <c r="G307" s="4" t="e">
        <f t="shared" si="9"/>
        <v>#DIV/0!</v>
      </c>
    </row>
    <row r="308" spans="6:7" x14ac:dyDescent="0.25">
      <c r="F308" s="3" t="e">
        <f t="shared" si="8"/>
        <v>#DIV/0!</v>
      </c>
      <c r="G308" s="4" t="e">
        <f t="shared" si="9"/>
        <v>#DIV/0!</v>
      </c>
    </row>
    <row r="309" spans="6:7" x14ac:dyDescent="0.25">
      <c r="F309" s="3" t="e">
        <f t="shared" si="8"/>
        <v>#DIV/0!</v>
      </c>
      <c r="G309" s="4" t="e">
        <f t="shared" si="9"/>
        <v>#DIV/0!</v>
      </c>
    </row>
    <row r="310" spans="6:7" x14ac:dyDescent="0.25">
      <c r="F310" s="3" t="e">
        <f t="shared" si="8"/>
        <v>#DIV/0!</v>
      </c>
      <c r="G310" s="4" t="e">
        <f t="shared" si="9"/>
        <v>#DIV/0!</v>
      </c>
    </row>
    <row r="311" spans="6:7" x14ac:dyDescent="0.25">
      <c r="F311" s="3" t="e">
        <f t="shared" si="8"/>
        <v>#DIV/0!</v>
      </c>
      <c r="G311" s="4" t="e">
        <f t="shared" si="9"/>
        <v>#DIV/0!</v>
      </c>
    </row>
    <row r="312" spans="6:7" x14ac:dyDescent="0.25">
      <c r="F312" s="3" t="e">
        <f t="shared" si="8"/>
        <v>#DIV/0!</v>
      </c>
      <c r="G312" s="4" t="e">
        <f t="shared" si="9"/>
        <v>#DIV/0!</v>
      </c>
    </row>
    <row r="313" spans="6:7" x14ac:dyDescent="0.25">
      <c r="F313" s="3" t="e">
        <f t="shared" si="8"/>
        <v>#DIV/0!</v>
      </c>
      <c r="G313" s="4" t="e">
        <f t="shared" si="9"/>
        <v>#DIV/0!</v>
      </c>
    </row>
    <row r="314" spans="6:7" x14ac:dyDescent="0.25">
      <c r="F314" s="3" t="e">
        <f t="shared" si="8"/>
        <v>#DIV/0!</v>
      </c>
      <c r="G314" s="4" t="e">
        <f t="shared" si="9"/>
        <v>#DIV/0!</v>
      </c>
    </row>
    <row r="315" spans="6:7" x14ac:dyDescent="0.25">
      <c r="F315" s="3" t="e">
        <f t="shared" si="8"/>
        <v>#DIV/0!</v>
      </c>
      <c r="G315" s="4" t="e">
        <f t="shared" si="9"/>
        <v>#DIV/0!</v>
      </c>
    </row>
    <row r="316" spans="6:7" x14ac:dyDescent="0.25">
      <c r="F316" s="3" t="e">
        <f t="shared" si="8"/>
        <v>#DIV/0!</v>
      </c>
      <c r="G316" s="4" t="e">
        <f t="shared" si="9"/>
        <v>#DIV/0!</v>
      </c>
    </row>
    <row r="317" spans="6:7" x14ac:dyDescent="0.25">
      <c r="F317" s="3" t="e">
        <f t="shared" si="8"/>
        <v>#DIV/0!</v>
      </c>
      <c r="G317" s="4" t="e">
        <f t="shared" si="9"/>
        <v>#DIV/0!</v>
      </c>
    </row>
    <row r="318" spans="6:7" x14ac:dyDescent="0.25">
      <c r="F318" s="3" t="e">
        <f t="shared" si="8"/>
        <v>#DIV/0!</v>
      </c>
      <c r="G318" s="4" t="e">
        <f t="shared" si="9"/>
        <v>#DIV/0!</v>
      </c>
    </row>
    <row r="319" spans="6:7" x14ac:dyDescent="0.25">
      <c r="F319" s="3" t="e">
        <f t="shared" si="8"/>
        <v>#DIV/0!</v>
      </c>
      <c r="G319" s="4" t="e">
        <f t="shared" si="9"/>
        <v>#DIV/0!</v>
      </c>
    </row>
    <row r="320" spans="6:7" x14ac:dyDescent="0.25">
      <c r="F320" s="3" t="e">
        <f t="shared" si="8"/>
        <v>#DIV/0!</v>
      </c>
      <c r="G320" s="4" t="e">
        <f t="shared" si="9"/>
        <v>#DIV/0!</v>
      </c>
    </row>
    <row r="321" spans="6:7" x14ac:dyDescent="0.25">
      <c r="F321" s="3" t="e">
        <f t="shared" si="8"/>
        <v>#DIV/0!</v>
      </c>
      <c r="G321" s="4" t="e">
        <f t="shared" si="9"/>
        <v>#DIV/0!</v>
      </c>
    </row>
    <row r="322" spans="6:7" x14ac:dyDescent="0.25">
      <c r="F322" s="3" t="e">
        <f t="shared" si="8"/>
        <v>#DIV/0!</v>
      </c>
      <c r="G322" s="4" t="e">
        <f t="shared" si="9"/>
        <v>#DIV/0!</v>
      </c>
    </row>
    <row r="323" spans="6:7" x14ac:dyDescent="0.25">
      <c r="F323" s="3" t="e">
        <f t="shared" ref="F323:F386" si="10">ROUNDUP((C323)/D323,0)</f>
        <v>#DIV/0!</v>
      </c>
      <c r="G323" s="4" t="e">
        <f t="shared" ref="G323:G386" si="11">F323*E323</f>
        <v>#DIV/0!</v>
      </c>
    </row>
    <row r="324" spans="6:7" x14ac:dyDescent="0.25">
      <c r="F324" s="3" t="e">
        <f t="shared" si="10"/>
        <v>#DIV/0!</v>
      </c>
      <c r="G324" s="4" t="e">
        <f t="shared" si="11"/>
        <v>#DIV/0!</v>
      </c>
    </row>
    <row r="325" spans="6:7" x14ac:dyDescent="0.25">
      <c r="F325" s="3" t="e">
        <f t="shared" si="10"/>
        <v>#DIV/0!</v>
      </c>
      <c r="G325" s="4" t="e">
        <f t="shared" si="11"/>
        <v>#DIV/0!</v>
      </c>
    </row>
    <row r="326" spans="6:7" x14ac:dyDescent="0.25">
      <c r="F326" s="3" t="e">
        <f t="shared" si="10"/>
        <v>#DIV/0!</v>
      </c>
      <c r="G326" s="4" t="e">
        <f t="shared" si="11"/>
        <v>#DIV/0!</v>
      </c>
    </row>
    <row r="327" spans="6:7" x14ac:dyDescent="0.25">
      <c r="F327" s="3" t="e">
        <f t="shared" si="10"/>
        <v>#DIV/0!</v>
      </c>
      <c r="G327" s="4" t="e">
        <f t="shared" si="11"/>
        <v>#DIV/0!</v>
      </c>
    </row>
    <row r="328" spans="6:7" x14ac:dyDescent="0.25">
      <c r="F328" s="3" t="e">
        <f t="shared" si="10"/>
        <v>#DIV/0!</v>
      </c>
      <c r="G328" s="4" t="e">
        <f t="shared" si="11"/>
        <v>#DIV/0!</v>
      </c>
    </row>
    <row r="329" spans="6:7" x14ac:dyDescent="0.25">
      <c r="F329" s="3" t="e">
        <f t="shared" si="10"/>
        <v>#DIV/0!</v>
      </c>
      <c r="G329" s="4" t="e">
        <f t="shared" si="11"/>
        <v>#DIV/0!</v>
      </c>
    </row>
    <row r="330" spans="6:7" x14ac:dyDescent="0.25">
      <c r="F330" s="3" t="e">
        <f t="shared" si="10"/>
        <v>#DIV/0!</v>
      </c>
      <c r="G330" s="4" t="e">
        <f t="shared" si="11"/>
        <v>#DIV/0!</v>
      </c>
    </row>
    <row r="331" spans="6:7" x14ac:dyDescent="0.25">
      <c r="F331" s="3" t="e">
        <f t="shared" si="10"/>
        <v>#DIV/0!</v>
      </c>
      <c r="G331" s="4" t="e">
        <f t="shared" si="11"/>
        <v>#DIV/0!</v>
      </c>
    </row>
    <row r="332" spans="6:7" x14ac:dyDescent="0.25">
      <c r="F332" s="3" t="e">
        <f t="shared" si="10"/>
        <v>#DIV/0!</v>
      </c>
      <c r="G332" s="4" t="e">
        <f t="shared" si="11"/>
        <v>#DIV/0!</v>
      </c>
    </row>
    <row r="333" spans="6:7" x14ac:dyDescent="0.25">
      <c r="F333" s="3" t="e">
        <f t="shared" si="10"/>
        <v>#DIV/0!</v>
      </c>
      <c r="G333" s="4" t="e">
        <f t="shared" si="11"/>
        <v>#DIV/0!</v>
      </c>
    </row>
    <row r="334" spans="6:7" x14ac:dyDescent="0.25">
      <c r="F334" s="3" t="e">
        <f t="shared" si="10"/>
        <v>#DIV/0!</v>
      </c>
      <c r="G334" s="4" t="e">
        <f t="shared" si="11"/>
        <v>#DIV/0!</v>
      </c>
    </row>
    <row r="335" spans="6:7" x14ac:dyDescent="0.25">
      <c r="F335" s="3" t="e">
        <f t="shared" si="10"/>
        <v>#DIV/0!</v>
      </c>
      <c r="G335" s="4" t="e">
        <f t="shared" si="11"/>
        <v>#DIV/0!</v>
      </c>
    </row>
    <row r="336" spans="6:7" x14ac:dyDescent="0.25">
      <c r="F336" s="3" t="e">
        <f t="shared" si="10"/>
        <v>#DIV/0!</v>
      </c>
      <c r="G336" s="4" t="e">
        <f t="shared" si="11"/>
        <v>#DIV/0!</v>
      </c>
    </row>
    <row r="337" spans="6:7" x14ac:dyDescent="0.25">
      <c r="F337" s="3" t="e">
        <f t="shared" si="10"/>
        <v>#DIV/0!</v>
      </c>
      <c r="G337" s="4" t="e">
        <f t="shared" si="11"/>
        <v>#DIV/0!</v>
      </c>
    </row>
    <row r="338" spans="6:7" x14ac:dyDescent="0.25">
      <c r="F338" s="3" t="e">
        <f t="shared" si="10"/>
        <v>#DIV/0!</v>
      </c>
      <c r="G338" s="4" t="e">
        <f t="shared" si="11"/>
        <v>#DIV/0!</v>
      </c>
    </row>
    <row r="339" spans="6:7" x14ac:dyDescent="0.25">
      <c r="F339" s="3" t="e">
        <f t="shared" si="10"/>
        <v>#DIV/0!</v>
      </c>
      <c r="G339" s="4" t="e">
        <f t="shared" si="11"/>
        <v>#DIV/0!</v>
      </c>
    </row>
    <row r="340" spans="6:7" x14ac:dyDescent="0.25">
      <c r="F340" s="3" t="e">
        <f t="shared" si="10"/>
        <v>#DIV/0!</v>
      </c>
      <c r="G340" s="4" t="e">
        <f t="shared" si="11"/>
        <v>#DIV/0!</v>
      </c>
    </row>
    <row r="341" spans="6:7" x14ac:dyDescent="0.25">
      <c r="F341" s="3" t="e">
        <f t="shared" si="10"/>
        <v>#DIV/0!</v>
      </c>
      <c r="G341" s="4" t="e">
        <f t="shared" si="11"/>
        <v>#DIV/0!</v>
      </c>
    </row>
    <row r="342" spans="6:7" x14ac:dyDescent="0.25">
      <c r="F342" s="3" t="e">
        <f t="shared" si="10"/>
        <v>#DIV/0!</v>
      </c>
      <c r="G342" s="4" t="e">
        <f t="shared" si="11"/>
        <v>#DIV/0!</v>
      </c>
    </row>
    <row r="343" spans="6:7" x14ac:dyDescent="0.25">
      <c r="F343" s="3" t="e">
        <f t="shared" si="10"/>
        <v>#DIV/0!</v>
      </c>
      <c r="G343" s="4" t="e">
        <f t="shared" si="11"/>
        <v>#DIV/0!</v>
      </c>
    </row>
    <row r="344" spans="6:7" x14ac:dyDescent="0.25">
      <c r="F344" s="3" t="e">
        <f t="shared" si="10"/>
        <v>#DIV/0!</v>
      </c>
      <c r="G344" s="4" t="e">
        <f t="shared" si="11"/>
        <v>#DIV/0!</v>
      </c>
    </row>
    <row r="345" spans="6:7" x14ac:dyDescent="0.25">
      <c r="F345" s="3" t="e">
        <f t="shared" si="10"/>
        <v>#DIV/0!</v>
      </c>
      <c r="G345" s="4" t="e">
        <f t="shared" si="11"/>
        <v>#DIV/0!</v>
      </c>
    </row>
    <row r="346" spans="6:7" x14ac:dyDescent="0.25">
      <c r="F346" s="3" t="e">
        <f t="shared" si="10"/>
        <v>#DIV/0!</v>
      </c>
      <c r="G346" s="4" t="e">
        <f t="shared" si="11"/>
        <v>#DIV/0!</v>
      </c>
    </row>
    <row r="347" spans="6:7" x14ac:dyDescent="0.25">
      <c r="F347" s="3" t="e">
        <f t="shared" si="10"/>
        <v>#DIV/0!</v>
      </c>
      <c r="G347" s="4" t="e">
        <f t="shared" si="11"/>
        <v>#DIV/0!</v>
      </c>
    </row>
    <row r="348" spans="6:7" x14ac:dyDescent="0.25">
      <c r="F348" s="3" t="e">
        <f t="shared" si="10"/>
        <v>#DIV/0!</v>
      </c>
      <c r="G348" s="4" t="e">
        <f t="shared" si="11"/>
        <v>#DIV/0!</v>
      </c>
    </row>
    <row r="349" spans="6:7" x14ac:dyDescent="0.25">
      <c r="F349" s="3" t="e">
        <f t="shared" si="10"/>
        <v>#DIV/0!</v>
      </c>
      <c r="G349" s="4" t="e">
        <f t="shared" si="11"/>
        <v>#DIV/0!</v>
      </c>
    </row>
    <row r="350" spans="6:7" x14ac:dyDescent="0.25">
      <c r="F350" s="3" t="e">
        <f t="shared" si="10"/>
        <v>#DIV/0!</v>
      </c>
      <c r="G350" s="4" t="e">
        <f t="shared" si="11"/>
        <v>#DIV/0!</v>
      </c>
    </row>
    <row r="351" spans="6:7" x14ac:dyDescent="0.25">
      <c r="F351" s="3" t="e">
        <f t="shared" si="10"/>
        <v>#DIV/0!</v>
      </c>
      <c r="G351" s="4" t="e">
        <f t="shared" si="11"/>
        <v>#DIV/0!</v>
      </c>
    </row>
    <row r="352" spans="6:7" x14ac:dyDescent="0.25">
      <c r="F352" s="3" t="e">
        <f t="shared" si="10"/>
        <v>#DIV/0!</v>
      </c>
      <c r="G352" s="4" t="e">
        <f t="shared" si="11"/>
        <v>#DIV/0!</v>
      </c>
    </row>
    <row r="353" spans="6:7" x14ac:dyDescent="0.25">
      <c r="F353" s="3" t="e">
        <f t="shared" si="10"/>
        <v>#DIV/0!</v>
      </c>
      <c r="G353" s="4" t="e">
        <f t="shared" si="11"/>
        <v>#DIV/0!</v>
      </c>
    </row>
    <row r="354" spans="6:7" x14ac:dyDescent="0.25">
      <c r="F354" s="3" t="e">
        <f t="shared" si="10"/>
        <v>#DIV/0!</v>
      </c>
      <c r="G354" s="4" t="e">
        <f t="shared" si="11"/>
        <v>#DIV/0!</v>
      </c>
    </row>
    <row r="355" spans="6:7" x14ac:dyDescent="0.25">
      <c r="F355" s="3" t="e">
        <f t="shared" si="10"/>
        <v>#DIV/0!</v>
      </c>
      <c r="G355" s="4" t="e">
        <f t="shared" si="11"/>
        <v>#DIV/0!</v>
      </c>
    </row>
    <row r="356" spans="6:7" x14ac:dyDescent="0.25">
      <c r="F356" s="3" t="e">
        <f t="shared" si="10"/>
        <v>#DIV/0!</v>
      </c>
      <c r="G356" s="4" t="e">
        <f t="shared" si="11"/>
        <v>#DIV/0!</v>
      </c>
    </row>
    <row r="357" spans="6:7" x14ac:dyDescent="0.25">
      <c r="F357" s="3" t="e">
        <f t="shared" si="10"/>
        <v>#DIV/0!</v>
      </c>
      <c r="G357" s="4" t="e">
        <f t="shared" si="11"/>
        <v>#DIV/0!</v>
      </c>
    </row>
    <row r="358" spans="6:7" x14ac:dyDescent="0.25">
      <c r="F358" s="3" t="e">
        <f t="shared" si="10"/>
        <v>#DIV/0!</v>
      </c>
      <c r="G358" s="4" t="e">
        <f t="shared" si="11"/>
        <v>#DIV/0!</v>
      </c>
    </row>
    <row r="359" spans="6:7" x14ac:dyDescent="0.25">
      <c r="F359" s="3" t="e">
        <f t="shared" si="10"/>
        <v>#DIV/0!</v>
      </c>
      <c r="G359" s="4" t="e">
        <f t="shared" si="11"/>
        <v>#DIV/0!</v>
      </c>
    </row>
    <row r="360" spans="6:7" x14ac:dyDescent="0.25">
      <c r="F360" s="3" t="e">
        <f t="shared" si="10"/>
        <v>#DIV/0!</v>
      </c>
      <c r="G360" s="4" t="e">
        <f t="shared" si="11"/>
        <v>#DIV/0!</v>
      </c>
    </row>
    <row r="361" spans="6:7" x14ac:dyDescent="0.25">
      <c r="F361" s="3" t="e">
        <f t="shared" si="10"/>
        <v>#DIV/0!</v>
      </c>
      <c r="G361" s="4" t="e">
        <f t="shared" si="11"/>
        <v>#DIV/0!</v>
      </c>
    </row>
    <row r="362" spans="6:7" x14ac:dyDescent="0.25">
      <c r="F362" s="3" t="e">
        <f t="shared" si="10"/>
        <v>#DIV/0!</v>
      </c>
      <c r="G362" s="4" t="e">
        <f t="shared" si="11"/>
        <v>#DIV/0!</v>
      </c>
    </row>
    <row r="363" spans="6:7" x14ac:dyDescent="0.25">
      <c r="F363" s="3" t="e">
        <f t="shared" si="10"/>
        <v>#DIV/0!</v>
      </c>
      <c r="G363" s="4" t="e">
        <f t="shared" si="11"/>
        <v>#DIV/0!</v>
      </c>
    </row>
    <row r="364" spans="6:7" x14ac:dyDescent="0.25">
      <c r="F364" s="3" t="e">
        <f t="shared" si="10"/>
        <v>#DIV/0!</v>
      </c>
      <c r="G364" s="4" t="e">
        <f t="shared" si="11"/>
        <v>#DIV/0!</v>
      </c>
    </row>
    <row r="365" spans="6:7" x14ac:dyDescent="0.25">
      <c r="F365" s="3" t="e">
        <f t="shared" si="10"/>
        <v>#DIV/0!</v>
      </c>
      <c r="G365" s="4" t="e">
        <f t="shared" si="11"/>
        <v>#DIV/0!</v>
      </c>
    </row>
    <row r="366" spans="6:7" x14ac:dyDescent="0.25">
      <c r="F366" s="3" t="e">
        <f t="shared" si="10"/>
        <v>#DIV/0!</v>
      </c>
      <c r="G366" s="4" t="e">
        <f t="shared" si="11"/>
        <v>#DIV/0!</v>
      </c>
    </row>
    <row r="367" spans="6:7" x14ac:dyDescent="0.25">
      <c r="F367" s="3" t="e">
        <f t="shared" si="10"/>
        <v>#DIV/0!</v>
      </c>
      <c r="G367" s="4" t="e">
        <f t="shared" si="11"/>
        <v>#DIV/0!</v>
      </c>
    </row>
    <row r="368" spans="6:7" x14ac:dyDescent="0.25">
      <c r="F368" s="3" t="e">
        <f t="shared" si="10"/>
        <v>#DIV/0!</v>
      </c>
      <c r="G368" s="4" t="e">
        <f t="shared" si="11"/>
        <v>#DIV/0!</v>
      </c>
    </row>
    <row r="369" spans="6:7" x14ac:dyDescent="0.25">
      <c r="F369" s="3" t="e">
        <f t="shared" si="10"/>
        <v>#DIV/0!</v>
      </c>
      <c r="G369" s="4" t="e">
        <f t="shared" si="11"/>
        <v>#DIV/0!</v>
      </c>
    </row>
    <row r="370" spans="6:7" x14ac:dyDescent="0.25">
      <c r="F370" s="3" t="e">
        <f t="shared" si="10"/>
        <v>#DIV/0!</v>
      </c>
      <c r="G370" s="4" t="e">
        <f t="shared" si="11"/>
        <v>#DIV/0!</v>
      </c>
    </row>
    <row r="371" spans="6:7" x14ac:dyDescent="0.25">
      <c r="F371" s="3" t="e">
        <f t="shared" si="10"/>
        <v>#DIV/0!</v>
      </c>
      <c r="G371" s="4" t="e">
        <f t="shared" si="11"/>
        <v>#DIV/0!</v>
      </c>
    </row>
    <row r="372" spans="6:7" x14ac:dyDescent="0.25">
      <c r="F372" s="3" t="e">
        <f t="shared" si="10"/>
        <v>#DIV/0!</v>
      </c>
      <c r="G372" s="4" t="e">
        <f t="shared" si="11"/>
        <v>#DIV/0!</v>
      </c>
    </row>
    <row r="373" spans="6:7" x14ac:dyDescent="0.25">
      <c r="F373" s="3" t="e">
        <f t="shared" si="10"/>
        <v>#DIV/0!</v>
      </c>
      <c r="G373" s="4" t="e">
        <f t="shared" si="11"/>
        <v>#DIV/0!</v>
      </c>
    </row>
    <row r="374" spans="6:7" x14ac:dyDescent="0.25">
      <c r="F374" s="3" t="e">
        <f t="shared" si="10"/>
        <v>#DIV/0!</v>
      </c>
      <c r="G374" s="4" t="e">
        <f t="shared" si="11"/>
        <v>#DIV/0!</v>
      </c>
    </row>
    <row r="375" spans="6:7" x14ac:dyDescent="0.25">
      <c r="F375" s="3" t="e">
        <f t="shared" si="10"/>
        <v>#DIV/0!</v>
      </c>
      <c r="G375" s="4" t="e">
        <f t="shared" si="11"/>
        <v>#DIV/0!</v>
      </c>
    </row>
    <row r="376" spans="6:7" x14ac:dyDescent="0.25">
      <c r="F376" s="3" t="e">
        <f t="shared" si="10"/>
        <v>#DIV/0!</v>
      </c>
      <c r="G376" s="4" t="e">
        <f t="shared" si="11"/>
        <v>#DIV/0!</v>
      </c>
    </row>
    <row r="377" spans="6:7" x14ac:dyDescent="0.25">
      <c r="F377" s="3" t="e">
        <f t="shared" si="10"/>
        <v>#DIV/0!</v>
      </c>
      <c r="G377" s="4" t="e">
        <f t="shared" si="11"/>
        <v>#DIV/0!</v>
      </c>
    </row>
    <row r="378" spans="6:7" x14ac:dyDescent="0.25">
      <c r="F378" s="3" t="e">
        <f t="shared" si="10"/>
        <v>#DIV/0!</v>
      </c>
      <c r="G378" s="4" t="e">
        <f t="shared" si="11"/>
        <v>#DIV/0!</v>
      </c>
    </row>
    <row r="379" spans="6:7" x14ac:dyDescent="0.25">
      <c r="F379" s="3" t="e">
        <f t="shared" si="10"/>
        <v>#DIV/0!</v>
      </c>
      <c r="G379" s="4" t="e">
        <f t="shared" si="11"/>
        <v>#DIV/0!</v>
      </c>
    </row>
    <row r="380" spans="6:7" x14ac:dyDescent="0.25">
      <c r="F380" s="3" t="e">
        <f t="shared" si="10"/>
        <v>#DIV/0!</v>
      </c>
      <c r="G380" s="4" t="e">
        <f t="shared" si="11"/>
        <v>#DIV/0!</v>
      </c>
    </row>
    <row r="381" spans="6:7" x14ac:dyDescent="0.25">
      <c r="F381" s="3" t="e">
        <f t="shared" si="10"/>
        <v>#DIV/0!</v>
      </c>
      <c r="G381" s="4" t="e">
        <f t="shared" si="11"/>
        <v>#DIV/0!</v>
      </c>
    </row>
    <row r="382" spans="6:7" x14ac:dyDescent="0.25">
      <c r="F382" s="3" t="e">
        <f t="shared" si="10"/>
        <v>#DIV/0!</v>
      </c>
      <c r="G382" s="4" t="e">
        <f t="shared" si="11"/>
        <v>#DIV/0!</v>
      </c>
    </row>
    <row r="383" spans="6:7" x14ac:dyDescent="0.25">
      <c r="F383" s="3" t="e">
        <f t="shared" si="10"/>
        <v>#DIV/0!</v>
      </c>
      <c r="G383" s="4" t="e">
        <f t="shared" si="11"/>
        <v>#DIV/0!</v>
      </c>
    </row>
    <row r="384" spans="6:7" x14ac:dyDescent="0.25">
      <c r="F384" s="3" t="e">
        <f t="shared" si="10"/>
        <v>#DIV/0!</v>
      </c>
      <c r="G384" s="4" t="e">
        <f t="shared" si="11"/>
        <v>#DIV/0!</v>
      </c>
    </row>
    <row r="385" spans="6:7" x14ac:dyDescent="0.25">
      <c r="F385" s="3" t="e">
        <f t="shared" si="10"/>
        <v>#DIV/0!</v>
      </c>
      <c r="G385" s="4" t="e">
        <f t="shared" si="11"/>
        <v>#DIV/0!</v>
      </c>
    </row>
    <row r="386" spans="6:7" x14ac:dyDescent="0.25">
      <c r="F386" s="3" t="e">
        <f t="shared" si="10"/>
        <v>#DIV/0!</v>
      </c>
      <c r="G386" s="4" t="e">
        <f t="shared" si="11"/>
        <v>#DIV/0!</v>
      </c>
    </row>
    <row r="387" spans="6:7" x14ac:dyDescent="0.25">
      <c r="F387" s="3" t="e">
        <f t="shared" ref="F387:F450" si="12">ROUNDUP((C387)/D387,0)</f>
        <v>#DIV/0!</v>
      </c>
      <c r="G387" s="4" t="e">
        <f t="shared" ref="G387:G450" si="13">F387*E387</f>
        <v>#DIV/0!</v>
      </c>
    </row>
    <row r="388" spans="6:7" x14ac:dyDescent="0.25">
      <c r="F388" s="3" t="e">
        <f t="shared" si="12"/>
        <v>#DIV/0!</v>
      </c>
      <c r="G388" s="4" t="e">
        <f t="shared" si="13"/>
        <v>#DIV/0!</v>
      </c>
    </row>
    <row r="389" spans="6:7" x14ac:dyDescent="0.25">
      <c r="F389" s="3" t="e">
        <f t="shared" si="12"/>
        <v>#DIV/0!</v>
      </c>
      <c r="G389" s="4" t="e">
        <f t="shared" si="13"/>
        <v>#DIV/0!</v>
      </c>
    </row>
    <row r="390" spans="6:7" x14ac:dyDescent="0.25">
      <c r="F390" s="3" t="e">
        <f t="shared" si="12"/>
        <v>#DIV/0!</v>
      </c>
      <c r="G390" s="4" t="e">
        <f t="shared" si="13"/>
        <v>#DIV/0!</v>
      </c>
    </row>
    <row r="391" spans="6:7" x14ac:dyDescent="0.25">
      <c r="F391" s="3" t="e">
        <f t="shared" si="12"/>
        <v>#DIV/0!</v>
      </c>
      <c r="G391" s="4" t="e">
        <f t="shared" si="13"/>
        <v>#DIV/0!</v>
      </c>
    </row>
    <row r="392" spans="6:7" x14ac:dyDescent="0.25">
      <c r="F392" s="3" t="e">
        <f t="shared" si="12"/>
        <v>#DIV/0!</v>
      </c>
      <c r="G392" s="4" t="e">
        <f t="shared" si="13"/>
        <v>#DIV/0!</v>
      </c>
    </row>
    <row r="393" spans="6:7" x14ac:dyDescent="0.25">
      <c r="F393" s="3" t="e">
        <f t="shared" si="12"/>
        <v>#DIV/0!</v>
      </c>
      <c r="G393" s="4" t="e">
        <f t="shared" si="13"/>
        <v>#DIV/0!</v>
      </c>
    </row>
    <row r="394" spans="6:7" x14ac:dyDescent="0.25">
      <c r="F394" s="3" t="e">
        <f t="shared" si="12"/>
        <v>#DIV/0!</v>
      </c>
      <c r="G394" s="4" t="e">
        <f t="shared" si="13"/>
        <v>#DIV/0!</v>
      </c>
    </row>
    <row r="395" spans="6:7" x14ac:dyDescent="0.25">
      <c r="F395" s="3" t="e">
        <f t="shared" si="12"/>
        <v>#DIV/0!</v>
      </c>
      <c r="G395" s="4" t="e">
        <f t="shared" si="13"/>
        <v>#DIV/0!</v>
      </c>
    </row>
    <row r="396" spans="6:7" x14ac:dyDescent="0.25">
      <c r="F396" s="3" t="e">
        <f t="shared" si="12"/>
        <v>#DIV/0!</v>
      </c>
      <c r="G396" s="4" t="e">
        <f t="shared" si="13"/>
        <v>#DIV/0!</v>
      </c>
    </row>
    <row r="397" spans="6:7" x14ac:dyDescent="0.25">
      <c r="F397" s="3" t="e">
        <f t="shared" si="12"/>
        <v>#DIV/0!</v>
      </c>
      <c r="G397" s="4" t="e">
        <f t="shared" si="13"/>
        <v>#DIV/0!</v>
      </c>
    </row>
    <row r="398" spans="6:7" x14ac:dyDescent="0.25">
      <c r="F398" s="3" t="e">
        <f t="shared" si="12"/>
        <v>#DIV/0!</v>
      </c>
      <c r="G398" s="4" t="e">
        <f t="shared" si="13"/>
        <v>#DIV/0!</v>
      </c>
    </row>
    <row r="399" spans="6:7" x14ac:dyDescent="0.25">
      <c r="F399" s="3" t="e">
        <f t="shared" si="12"/>
        <v>#DIV/0!</v>
      </c>
      <c r="G399" s="4" t="e">
        <f t="shared" si="13"/>
        <v>#DIV/0!</v>
      </c>
    </row>
    <row r="400" spans="6:7" x14ac:dyDescent="0.25">
      <c r="F400" s="3" t="e">
        <f t="shared" si="12"/>
        <v>#DIV/0!</v>
      </c>
      <c r="G400" s="4" t="e">
        <f t="shared" si="13"/>
        <v>#DIV/0!</v>
      </c>
    </row>
    <row r="401" spans="6:7" x14ac:dyDescent="0.25">
      <c r="F401" s="3" t="e">
        <f t="shared" si="12"/>
        <v>#DIV/0!</v>
      </c>
      <c r="G401" s="4" t="e">
        <f t="shared" si="13"/>
        <v>#DIV/0!</v>
      </c>
    </row>
    <row r="402" spans="6:7" x14ac:dyDescent="0.25">
      <c r="F402" s="3" t="e">
        <f t="shared" si="12"/>
        <v>#DIV/0!</v>
      </c>
      <c r="G402" s="4" t="e">
        <f t="shared" si="13"/>
        <v>#DIV/0!</v>
      </c>
    </row>
    <row r="403" spans="6:7" x14ac:dyDescent="0.25">
      <c r="F403" s="3" t="e">
        <f t="shared" si="12"/>
        <v>#DIV/0!</v>
      </c>
      <c r="G403" s="4" t="e">
        <f t="shared" si="13"/>
        <v>#DIV/0!</v>
      </c>
    </row>
    <row r="404" spans="6:7" x14ac:dyDescent="0.25">
      <c r="F404" s="3" t="e">
        <f t="shared" si="12"/>
        <v>#DIV/0!</v>
      </c>
      <c r="G404" s="4" t="e">
        <f t="shared" si="13"/>
        <v>#DIV/0!</v>
      </c>
    </row>
    <row r="405" spans="6:7" x14ac:dyDescent="0.25">
      <c r="F405" s="3" t="e">
        <f t="shared" si="12"/>
        <v>#DIV/0!</v>
      </c>
      <c r="G405" s="4" t="e">
        <f t="shared" si="13"/>
        <v>#DIV/0!</v>
      </c>
    </row>
    <row r="406" spans="6:7" x14ac:dyDescent="0.25">
      <c r="F406" s="3" t="e">
        <f t="shared" si="12"/>
        <v>#DIV/0!</v>
      </c>
      <c r="G406" s="4" t="e">
        <f t="shared" si="13"/>
        <v>#DIV/0!</v>
      </c>
    </row>
    <row r="407" spans="6:7" x14ac:dyDescent="0.25">
      <c r="F407" s="3" t="e">
        <f t="shared" si="12"/>
        <v>#DIV/0!</v>
      </c>
      <c r="G407" s="4" t="e">
        <f t="shared" si="13"/>
        <v>#DIV/0!</v>
      </c>
    </row>
    <row r="408" spans="6:7" x14ac:dyDescent="0.25">
      <c r="F408" s="3" t="e">
        <f t="shared" si="12"/>
        <v>#DIV/0!</v>
      </c>
      <c r="G408" s="4" t="e">
        <f t="shared" si="13"/>
        <v>#DIV/0!</v>
      </c>
    </row>
    <row r="409" spans="6:7" x14ac:dyDescent="0.25">
      <c r="F409" s="3" t="e">
        <f t="shared" si="12"/>
        <v>#DIV/0!</v>
      </c>
      <c r="G409" s="4" t="e">
        <f t="shared" si="13"/>
        <v>#DIV/0!</v>
      </c>
    </row>
    <row r="410" spans="6:7" x14ac:dyDescent="0.25">
      <c r="F410" s="3" t="e">
        <f t="shared" si="12"/>
        <v>#DIV/0!</v>
      </c>
      <c r="G410" s="4" t="e">
        <f t="shared" si="13"/>
        <v>#DIV/0!</v>
      </c>
    </row>
    <row r="411" spans="6:7" x14ac:dyDescent="0.25">
      <c r="F411" s="3" t="e">
        <f t="shared" si="12"/>
        <v>#DIV/0!</v>
      </c>
      <c r="G411" s="4" t="e">
        <f t="shared" si="13"/>
        <v>#DIV/0!</v>
      </c>
    </row>
    <row r="412" spans="6:7" x14ac:dyDescent="0.25">
      <c r="F412" s="3" t="e">
        <f t="shared" si="12"/>
        <v>#DIV/0!</v>
      </c>
      <c r="G412" s="4" t="e">
        <f t="shared" si="13"/>
        <v>#DIV/0!</v>
      </c>
    </row>
    <row r="413" spans="6:7" x14ac:dyDescent="0.25">
      <c r="F413" s="3" t="e">
        <f t="shared" si="12"/>
        <v>#DIV/0!</v>
      </c>
      <c r="G413" s="4" t="e">
        <f t="shared" si="13"/>
        <v>#DIV/0!</v>
      </c>
    </row>
    <row r="414" spans="6:7" x14ac:dyDescent="0.25">
      <c r="F414" s="3" t="e">
        <f t="shared" si="12"/>
        <v>#DIV/0!</v>
      </c>
      <c r="G414" s="4" t="e">
        <f t="shared" si="13"/>
        <v>#DIV/0!</v>
      </c>
    </row>
    <row r="415" spans="6:7" x14ac:dyDescent="0.25">
      <c r="F415" s="3" t="e">
        <f t="shared" si="12"/>
        <v>#DIV/0!</v>
      </c>
      <c r="G415" s="4" t="e">
        <f t="shared" si="13"/>
        <v>#DIV/0!</v>
      </c>
    </row>
    <row r="416" spans="6:7" x14ac:dyDescent="0.25">
      <c r="F416" s="3" t="e">
        <f t="shared" si="12"/>
        <v>#DIV/0!</v>
      </c>
      <c r="G416" s="4" t="e">
        <f t="shared" si="13"/>
        <v>#DIV/0!</v>
      </c>
    </row>
    <row r="417" spans="6:7" x14ac:dyDescent="0.25">
      <c r="F417" s="3" t="e">
        <f t="shared" si="12"/>
        <v>#DIV/0!</v>
      </c>
      <c r="G417" s="4" t="e">
        <f t="shared" si="13"/>
        <v>#DIV/0!</v>
      </c>
    </row>
    <row r="418" spans="6:7" x14ac:dyDescent="0.25">
      <c r="F418" s="3" t="e">
        <f t="shared" si="12"/>
        <v>#DIV/0!</v>
      </c>
      <c r="G418" s="4" t="e">
        <f t="shared" si="13"/>
        <v>#DIV/0!</v>
      </c>
    </row>
    <row r="419" spans="6:7" x14ac:dyDescent="0.25">
      <c r="F419" s="3" t="e">
        <f t="shared" si="12"/>
        <v>#DIV/0!</v>
      </c>
      <c r="G419" s="4" t="e">
        <f t="shared" si="13"/>
        <v>#DIV/0!</v>
      </c>
    </row>
    <row r="420" spans="6:7" x14ac:dyDescent="0.25">
      <c r="F420" s="3" t="e">
        <f t="shared" si="12"/>
        <v>#DIV/0!</v>
      </c>
      <c r="G420" s="4" t="e">
        <f t="shared" si="13"/>
        <v>#DIV/0!</v>
      </c>
    </row>
    <row r="421" spans="6:7" x14ac:dyDescent="0.25">
      <c r="F421" s="3" t="e">
        <f t="shared" si="12"/>
        <v>#DIV/0!</v>
      </c>
      <c r="G421" s="4" t="e">
        <f t="shared" si="13"/>
        <v>#DIV/0!</v>
      </c>
    </row>
    <row r="422" spans="6:7" x14ac:dyDescent="0.25">
      <c r="F422" s="3" t="e">
        <f t="shared" si="12"/>
        <v>#DIV/0!</v>
      </c>
      <c r="G422" s="4" t="e">
        <f t="shared" si="13"/>
        <v>#DIV/0!</v>
      </c>
    </row>
    <row r="423" spans="6:7" x14ac:dyDescent="0.25">
      <c r="F423" s="3" t="e">
        <f t="shared" si="12"/>
        <v>#DIV/0!</v>
      </c>
      <c r="G423" s="4" t="e">
        <f t="shared" si="13"/>
        <v>#DIV/0!</v>
      </c>
    </row>
    <row r="424" spans="6:7" x14ac:dyDescent="0.25">
      <c r="F424" s="3" t="e">
        <f t="shared" si="12"/>
        <v>#DIV/0!</v>
      </c>
      <c r="G424" s="4" t="e">
        <f t="shared" si="13"/>
        <v>#DIV/0!</v>
      </c>
    </row>
    <row r="425" spans="6:7" x14ac:dyDescent="0.25">
      <c r="F425" s="3" t="e">
        <f t="shared" si="12"/>
        <v>#DIV/0!</v>
      </c>
      <c r="G425" s="4" t="e">
        <f t="shared" si="13"/>
        <v>#DIV/0!</v>
      </c>
    </row>
    <row r="426" spans="6:7" x14ac:dyDescent="0.25">
      <c r="F426" s="3" t="e">
        <f t="shared" si="12"/>
        <v>#DIV/0!</v>
      </c>
      <c r="G426" s="4" t="e">
        <f t="shared" si="13"/>
        <v>#DIV/0!</v>
      </c>
    </row>
    <row r="427" spans="6:7" x14ac:dyDescent="0.25">
      <c r="F427" s="3" t="e">
        <f t="shared" si="12"/>
        <v>#DIV/0!</v>
      </c>
      <c r="G427" s="4" t="e">
        <f t="shared" si="13"/>
        <v>#DIV/0!</v>
      </c>
    </row>
    <row r="428" spans="6:7" x14ac:dyDescent="0.25">
      <c r="F428" s="3" t="e">
        <f t="shared" si="12"/>
        <v>#DIV/0!</v>
      </c>
      <c r="G428" s="4" t="e">
        <f t="shared" si="13"/>
        <v>#DIV/0!</v>
      </c>
    </row>
    <row r="429" spans="6:7" x14ac:dyDescent="0.25">
      <c r="F429" s="3" t="e">
        <f t="shared" si="12"/>
        <v>#DIV/0!</v>
      </c>
      <c r="G429" s="4" t="e">
        <f t="shared" si="13"/>
        <v>#DIV/0!</v>
      </c>
    </row>
    <row r="430" spans="6:7" x14ac:dyDescent="0.25">
      <c r="F430" s="3" t="e">
        <f t="shared" si="12"/>
        <v>#DIV/0!</v>
      </c>
      <c r="G430" s="4" t="e">
        <f t="shared" si="13"/>
        <v>#DIV/0!</v>
      </c>
    </row>
    <row r="431" spans="6:7" x14ac:dyDescent="0.25">
      <c r="F431" s="3" t="e">
        <f t="shared" si="12"/>
        <v>#DIV/0!</v>
      </c>
      <c r="G431" s="4" t="e">
        <f t="shared" si="13"/>
        <v>#DIV/0!</v>
      </c>
    </row>
    <row r="432" spans="6:7" x14ac:dyDescent="0.25">
      <c r="F432" s="3" t="e">
        <f t="shared" si="12"/>
        <v>#DIV/0!</v>
      </c>
      <c r="G432" s="4" t="e">
        <f t="shared" si="13"/>
        <v>#DIV/0!</v>
      </c>
    </row>
    <row r="433" spans="6:7" x14ac:dyDescent="0.25">
      <c r="F433" s="3" t="e">
        <f t="shared" si="12"/>
        <v>#DIV/0!</v>
      </c>
      <c r="G433" s="4" t="e">
        <f t="shared" si="13"/>
        <v>#DIV/0!</v>
      </c>
    </row>
    <row r="434" spans="6:7" x14ac:dyDescent="0.25">
      <c r="F434" s="3" t="e">
        <f t="shared" si="12"/>
        <v>#DIV/0!</v>
      </c>
      <c r="G434" s="4" t="e">
        <f t="shared" si="13"/>
        <v>#DIV/0!</v>
      </c>
    </row>
    <row r="435" spans="6:7" x14ac:dyDescent="0.25">
      <c r="F435" s="3" t="e">
        <f t="shared" si="12"/>
        <v>#DIV/0!</v>
      </c>
      <c r="G435" s="4" t="e">
        <f t="shared" si="13"/>
        <v>#DIV/0!</v>
      </c>
    </row>
    <row r="436" spans="6:7" x14ac:dyDescent="0.25">
      <c r="F436" s="3" t="e">
        <f t="shared" si="12"/>
        <v>#DIV/0!</v>
      </c>
      <c r="G436" s="4" t="e">
        <f t="shared" si="13"/>
        <v>#DIV/0!</v>
      </c>
    </row>
    <row r="437" spans="6:7" x14ac:dyDescent="0.25">
      <c r="F437" s="3" t="e">
        <f t="shared" si="12"/>
        <v>#DIV/0!</v>
      </c>
      <c r="G437" s="4" t="e">
        <f t="shared" si="13"/>
        <v>#DIV/0!</v>
      </c>
    </row>
    <row r="438" spans="6:7" x14ac:dyDescent="0.25">
      <c r="F438" s="3" t="e">
        <f t="shared" si="12"/>
        <v>#DIV/0!</v>
      </c>
      <c r="G438" s="4" t="e">
        <f t="shared" si="13"/>
        <v>#DIV/0!</v>
      </c>
    </row>
    <row r="439" spans="6:7" x14ac:dyDescent="0.25">
      <c r="F439" s="3" t="e">
        <f t="shared" si="12"/>
        <v>#DIV/0!</v>
      </c>
      <c r="G439" s="4" t="e">
        <f t="shared" si="13"/>
        <v>#DIV/0!</v>
      </c>
    </row>
    <row r="440" spans="6:7" x14ac:dyDescent="0.25">
      <c r="F440" s="3" t="e">
        <f t="shared" si="12"/>
        <v>#DIV/0!</v>
      </c>
      <c r="G440" s="4" t="e">
        <f t="shared" si="13"/>
        <v>#DIV/0!</v>
      </c>
    </row>
    <row r="441" spans="6:7" x14ac:dyDescent="0.25">
      <c r="F441" s="3" t="e">
        <f t="shared" si="12"/>
        <v>#DIV/0!</v>
      </c>
      <c r="G441" s="4" t="e">
        <f t="shared" si="13"/>
        <v>#DIV/0!</v>
      </c>
    </row>
    <row r="442" spans="6:7" x14ac:dyDescent="0.25">
      <c r="F442" s="3" t="e">
        <f t="shared" si="12"/>
        <v>#DIV/0!</v>
      </c>
      <c r="G442" s="4" t="e">
        <f t="shared" si="13"/>
        <v>#DIV/0!</v>
      </c>
    </row>
    <row r="443" spans="6:7" x14ac:dyDescent="0.25">
      <c r="F443" s="3" t="e">
        <f t="shared" si="12"/>
        <v>#DIV/0!</v>
      </c>
      <c r="G443" s="4" t="e">
        <f t="shared" si="13"/>
        <v>#DIV/0!</v>
      </c>
    </row>
    <row r="444" spans="6:7" x14ac:dyDescent="0.25">
      <c r="F444" s="3" t="e">
        <f t="shared" si="12"/>
        <v>#DIV/0!</v>
      </c>
      <c r="G444" s="4" t="e">
        <f t="shared" si="13"/>
        <v>#DIV/0!</v>
      </c>
    </row>
    <row r="445" spans="6:7" x14ac:dyDescent="0.25">
      <c r="F445" s="3" t="e">
        <f t="shared" si="12"/>
        <v>#DIV/0!</v>
      </c>
      <c r="G445" s="4" t="e">
        <f t="shared" si="13"/>
        <v>#DIV/0!</v>
      </c>
    </row>
    <row r="446" spans="6:7" x14ac:dyDescent="0.25">
      <c r="F446" s="3" t="e">
        <f t="shared" si="12"/>
        <v>#DIV/0!</v>
      </c>
      <c r="G446" s="4" t="e">
        <f t="shared" si="13"/>
        <v>#DIV/0!</v>
      </c>
    </row>
    <row r="447" spans="6:7" x14ac:dyDescent="0.25">
      <c r="F447" s="3" t="e">
        <f t="shared" si="12"/>
        <v>#DIV/0!</v>
      </c>
      <c r="G447" s="4" t="e">
        <f t="shared" si="13"/>
        <v>#DIV/0!</v>
      </c>
    </row>
    <row r="448" spans="6:7" x14ac:dyDescent="0.25">
      <c r="F448" s="3" t="e">
        <f t="shared" si="12"/>
        <v>#DIV/0!</v>
      </c>
      <c r="G448" s="4" t="e">
        <f t="shared" si="13"/>
        <v>#DIV/0!</v>
      </c>
    </row>
    <row r="449" spans="6:7" x14ac:dyDescent="0.25">
      <c r="F449" s="3" t="e">
        <f t="shared" si="12"/>
        <v>#DIV/0!</v>
      </c>
      <c r="G449" s="4" t="e">
        <f t="shared" si="13"/>
        <v>#DIV/0!</v>
      </c>
    </row>
    <row r="450" spans="6:7" x14ac:dyDescent="0.25">
      <c r="F450" s="3" t="e">
        <f t="shared" si="12"/>
        <v>#DIV/0!</v>
      </c>
      <c r="G450" s="4" t="e">
        <f t="shared" si="13"/>
        <v>#DIV/0!</v>
      </c>
    </row>
    <row r="451" spans="6:7" x14ac:dyDescent="0.25">
      <c r="F451" s="3" t="e">
        <f t="shared" ref="F451:F514" si="14">ROUNDUP((C451)/D451,0)</f>
        <v>#DIV/0!</v>
      </c>
      <c r="G451" s="4" t="e">
        <f t="shared" ref="G451:G514" si="15">F451*E451</f>
        <v>#DIV/0!</v>
      </c>
    </row>
    <row r="452" spans="6:7" x14ac:dyDescent="0.25">
      <c r="F452" s="3" t="e">
        <f t="shared" si="14"/>
        <v>#DIV/0!</v>
      </c>
      <c r="G452" s="4" t="e">
        <f t="shared" si="15"/>
        <v>#DIV/0!</v>
      </c>
    </row>
    <row r="453" spans="6:7" x14ac:dyDescent="0.25">
      <c r="F453" s="3" t="e">
        <f t="shared" si="14"/>
        <v>#DIV/0!</v>
      </c>
      <c r="G453" s="4" t="e">
        <f t="shared" si="15"/>
        <v>#DIV/0!</v>
      </c>
    </row>
    <row r="454" spans="6:7" x14ac:dyDescent="0.25">
      <c r="F454" s="3" t="e">
        <f t="shared" si="14"/>
        <v>#DIV/0!</v>
      </c>
      <c r="G454" s="4" t="e">
        <f t="shared" si="15"/>
        <v>#DIV/0!</v>
      </c>
    </row>
    <row r="455" spans="6:7" x14ac:dyDescent="0.25">
      <c r="F455" s="3" t="e">
        <f t="shared" si="14"/>
        <v>#DIV/0!</v>
      </c>
      <c r="G455" s="4" t="e">
        <f t="shared" si="15"/>
        <v>#DIV/0!</v>
      </c>
    </row>
    <row r="456" spans="6:7" x14ac:dyDescent="0.25">
      <c r="F456" s="3" t="e">
        <f t="shared" si="14"/>
        <v>#DIV/0!</v>
      </c>
      <c r="G456" s="4" t="e">
        <f t="shared" si="15"/>
        <v>#DIV/0!</v>
      </c>
    </row>
    <row r="457" spans="6:7" x14ac:dyDescent="0.25">
      <c r="F457" s="3" t="e">
        <f t="shared" si="14"/>
        <v>#DIV/0!</v>
      </c>
      <c r="G457" s="4" t="e">
        <f t="shared" si="15"/>
        <v>#DIV/0!</v>
      </c>
    </row>
    <row r="458" spans="6:7" x14ac:dyDescent="0.25">
      <c r="F458" s="3" t="e">
        <f t="shared" si="14"/>
        <v>#DIV/0!</v>
      </c>
      <c r="G458" s="4" t="e">
        <f t="shared" si="15"/>
        <v>#DIV/0!</v>
      </c>
    </row>
    <row r="459" spans="6:7" x14ac:dyDescent="0.25">
      <c r="F459" s="3" t="e">
        <f t="shared" si="14"/>
        <v>#DIV/0!</v>
      </c>
      <c r="G459" s="4" t="e">
        <f t="shared" si="15"/>
        <v>#DIV/0!</v>
      </c>
    </row>
    <row r="460" spans="6:7" x14ac:dyDescent="0.25">
      <c r="F460" s="3" t="e">
        <f t="shared" si="14"/>
        <v>#DIV/0!</v>
      </c>
      <c r="G460" s="4" t="e">
        <f t="shared" si="15"/>
        <v>#DIV/0!</v>
      </c>
    </row>
    <row r="461" spans="6:7" x14ac:dyDescent="0.25">
      <c r="F461" s="3" t="e">
        <f t="shared" si="14"/>
        <v>#DIV/0!</v>
      </c>
      <c r="G461" s="4" t="e">
        <f t="shared" si="15"/>
        <v>#DIV/0!</v>
      </c>
    </row>
    <row r="462" spans="6:7" x14ac:dyDescent="0.25">
      <c r="F462" s="3" t="e">
        <f t="shared" si="14"/>
        <v>#DIV/0!</v>
      </c>
      <c r="G462" s="4" t="e">
        <f t="shared" si="15"/>
        <v>#DIV/0!</v>
      </c>
    </row>
    <row r="463" spans="6:7" x14ac:dyDescent="0.25">
      <c r="F463" s="3" t="e">
        <f t="shared" si="14"/>
        <v>#DIV/0!</v>
      </c>
      <c r="G463" s="4" t="e">
        <f t="shared" si="15"/>
        <v>#DIV/0!</v>
      </c>
    </row>
    <row r="464" spans="6:7" x14ac:dyDescent="0.25">
      <c r="F464" s="3" t="e">
        <f t="shared" si="14"/>
        <v>#DIV/0!</v>
      </c>
      <c r="G464" s="4" t="e">
        <f t="shared" si="15"/>
        <v>#DIV/0!</v>
      </c>
    </row>
    <row r="465" spans="6:7" x14ac:dyDescent="0.25">
      <c r="F465" s="3" t="e">
        <f t="shared" si="14"/>
        <v>#DIV/0!</v>
      </c>
      <c r="G465" s="4" t="e">
        <f t="shared" si="15"/>
        <v>#DIV/0!</v>
      </c>
    </row>
    <row r="466" spans="6:7" x14ac:dyDescent="0.25">
      <c r="F466" s="3" t="e">
        <f t="shared" si="14"/>
        <v>#DIV/0!</v>
      </c>
      <c r="G466" s="4" t="e">
        <f t="shared" si="15"/>
        <v>#DIV/0!</v>
      </c>
    </row>
    <row r="467" spans="6:7" x14ac:dyDescent="0.25">
      <c r="F467" s="3" t="e">
        <f t="shared" si="14"/>
        <v>#DIV/0!</v>
      </c>
      <c r="G467" s="4" t="e">
        <f t="shared" si="15"/>
        <v>#DIV/0!</v>
      </c>
    </row>
    <row r="468" spans="6:7" x14ac:dyDescent="0.25">
      <c r="F468" s="3" t="e">
        <f t="shared" si="14"/>
        <v>#DIV/0!</v>
      </c>
      <c r="G468" s="4" t="e">
        <f t="shared" si="15"/>
        <v>#DIV/0!</v>
      </c>
    </row>
    <row r="469" spans="6:7" x14ac:dyDescent="0.25">
      <c r="F469" s="3" t="e">
        <f t="shared" si="14"/>
        <v>#DIV/0!</v>
      </c>
      <c r="G469" s="4" t="e">
        <f t="shared" si="15"/>
        <v>#DIV/0!</v>
      </c>
    </row>
    <row r="470" spans="6:7" x14ac:dyDescent="0.25">
      <c r="F470" s="3" t="e">
        <f t="shared" si="14"/>
        <v>#DIV/0!</v>
      </c>
      <c r="G470" s="4" t="e">
        <f t="shared" si="15"/>
        <v>#DIV/0!</v>
      </c>
    </row>
    <row r="471" spans="6:7" x14ac:dyDescent="0.25">
      <c r="F471" s="3" t="e">
        <f t="shared" si="14"/>
        <v>#DIV/0!</v>
      </c>
      <c r="G471" s="4" t="e">
        <f t="shared" si="15"/>
        <v>#DIV/0!</v>
      </c>
    </row>
    <row r="472" spans="6:7" x14ac:dyDescent="0.25">
      <c r="F472" s="3" t="e">
        <f t="shared" si="14"/>
        <v>#DIV/0!</v>
      </c>
      <c r="G472" s="4" t="e">
        <f t="shared" si="15"/>
        <v>#DIV/0!</v>
      </c>
    </row>
    <row r="473" spans="6:7" x14ac:dyDescent="0.25">
      <c r="F473" s="3" t="e">
        <f t="shared" si="14"/>
        <v>#DIV/0!</v>
      </c>
      <c r="G473" s="4" t="e">
        <f t="shared" si="15"/>
        <v>#DIV/0!</v>
      </c>
    </row>
    <row r="474" spans="6:7" x14ac:dyDescent="0.25">
      <c r="F474" s="3" t="e">
        <f t="shared" si="14"/>
        <v>#DIV/0!</v>
      </c>
      <c r="G474" s="4" t="e">
        <f t="shared" si="15"/>
        <v>#DIV/0!</v>
      </c>
    </row>
    <row r="475" spans="6:7" x14ac:dyDescent="0.25">
      <c r="F475" s="3" t="e">
        <f t="shared" si="14"/>
        <v>#DIV/0!</v>
      </c>
      <c r="G475" s="4" t="e">
        <f t="shared" si="15"/>
        <v>#DIV/0!</v>
      </c>
    </row>
    <row r="476" spans="6:7" x14ac:dyDescent="0.25">
      <c r="F476" s="3" t="e">
        <f t="shared" si="14"/>
        <v>#DIV/0!</v>
      </c>
      <c r="G476" s="4" t="e">
        <f t="shared" si="15"/>
        <v>#DIV/0!</v>
      </c>
    </row>
    <row r="477" spans="6:7" x14ac:dyDescent="0.25">
      <c r="F477" s="3" t="e">
        <f t="shared" si="14"/>
        <v>#DIV/0!</v>
      </c>
      <c r="G477" s="4" t="e">
        <f t="shared" si="15"/>
        <v>#DIV/0!</v>
      </c>
    </row>
    <row r="478" spans="6:7" x14ac:dyDescent="0.25">
      <c r="F478" s="3" t="e">
        <f t="shared" si="14"/>
        <v>#DIV/0!</v>
      </c>
      <c r="G478" s="4" t="e">
        <f t="shared" si="15"/>
        <v>#DIV/0!</v>
      </c>
    </row>
    <row r="479" spans="6:7" x14ac:dyDescent="0.25">
      <c r="F479" s="3" t="e">
        <f t="shared" si="14"/>
        <v>#DIV/0!</v>
      </c>
      <c r="G479" s="4" t="e">
        <f t="shared" si="15"/>
        <v>#DIV/0!</v>
      </c>
    </row>
    <row r="480" spans="6:7" x14ac:dyDescent="0.25">
      <c r="F480" s="3" t="e">
        <f t="shared" si="14"/>
        <v>#DIV/0!</v>
      </c>
      <c r="G480" s="4" t="e">
        <f t="shared" si="15"/>
        <v>#DIV/0!</v>
      </c>
    </row>
    <row r="481" spans="6:7" x14ac:dyDescent="0.25">
      <c r="F481" s="3" t="e">
        <f t="shared" si="14"/>
        <v>#DIV/0!</v>
      </c>
      <c r="G481" s="4" t="e">
        <f t="shared" si="15"/>
        <v>#DIV/0!</v>
      </c>
    </row>
    <row r="482" spans="6:7" x14ac:dyDescent="0.25">
      <c r="F482" s="3" t="e">
        <f t="shared" si="14"/>
        <v>#DIV/0!</v>
      </c>
      <c r="G482" s="4" t="e">
        <f t="shared" si="15"/>
        <v>#DIV/0!</v>
      </c>
    </row>
    <row r="483" spans="6:7" x14ac:dyDescent="0.25">
      <c r="F483" s="3" t="e">
        <f t="shared" si="14"/>
        <v>#DIV/0!</v>
      </c>
      <c r="G483" s="4" t="e">
        <f t="shared" si="15"/>
        <v>#DIV/0!</v>
      </c>
    </row>
    <row r="484" spans="6:7" x14ac:dyDescent="0.25">
      <c r="F484" s="3" t="e">
        <f t="shared" si="14"/>
        <v>#DIV/0!</v>
      </c>
      <c r="G484" s="4" t="e">
        <f t="shared" si="15"/>
        <v>#DIV/0!</v>
      </c>
    </row>
    <row r="485" spans="6:7" x14ac:dyDescent="0.25">
      <c r="F485" s="3" t="e">
        <f t="shared" si="14"/>
        <v>#DIV/0!</v>
      </c>
      <c r="G485" s="4" t="e">
        <f t="shared" si="15"/>
        <v>#DIV/0!</v>
      </c>
    </row>
    <row r="486" spans="6:7" x14ac:dyDescent="0.25">
      <c r="F486" s="3" t="e">
        <f t="shared" si="14"/>
        <v>#DIV/0!</v>
      </c>
      <c r="G486" s="4" t="e">
        <f t="shared" si="15"/>
        <v>#DIV/0!</v>
      </c>
    </row>
    <row r="487" spans="6:7" x14ac:dyDescent="0.25">
      <c r="F487" s="3" t="e">
        <f t="shared" si="14"/>
        <v>#DIV/0!</v>
      </c>
      <c r="G487" s="4" t="e">
        <f t="shared" si="15"/>
        <v>#DIV/0!</v>
      </c>
    </row>
    <row r="488" spans="6:7" x14ac:dyDescent="0.25">
      <c r="F488" s="3" t="e">
        <f t="shared" si="14"/>
        <v>#DIV/0!</v>
      </c>
      <c r="G488" s="4" t="e">
        <f t="shared" si="15"/>
        <v>#DIV/0!</v>
      </c>
    </row>
    <row r="489" spans="6:7" x14ac:dyDescent="0.25">
      <c r="F489" s="3" t="e">
        <f t="shared" si="14"/>
        <v>#DIV/0!</v>
      </c>
      <c r="G489" s="4" t="e">
        <f t="shared" si="15"/>
        <v>#DIV/0!</v>
      </c>
    </row>
    <row r="490" spans="6:7" x14ac:dyDescent="0.25">
      <c r="F490" s="3" t="e">
        <f t="shared" si="14"/>
        <v>#DIV/0!</v>
      </c>
      <c r="G490" s="4" t="e">
        <f t="shared" si="15"/>
        <v>#DIV/0!</v>
      </c>
    </row>
    <row r="491" spans="6:7" x14ac:dyDescent="0.25">
      <c r="F491" s="3" t="e">
        <f t="shared" si="14"/>
        <v>#DIV/0!</v>
      </c>
      <c r="G491" s="4" t="e">
        <f t="shared" si="15"/>
        <v>#DIV/0!</v>
      </c>
    </row>
    <row r="492" spans="6:7" x14ac:dyDescent="0.25">
      <c r="F492" s="3" t="e">
        <f t="shared" si="14"/>
        <v>#DIV/0!</v>
      </c>
      <c r="G492" s="4" t="e">
        <f t="shared" si="15"/>
        <v>#DIV/0!</v>
      </c>
    </row>
    <row r="493" spans="6:7" x14ac:dyDescent="0.25">
      <c r="F493" s="3" t="e">
        <f t="shared" si="14"/>
        <v>#DIV/0!</v>
      </c>
      <c r="G493" s="4" t="e">
        <f t="shared" si="15"/>
        <v>#DIV/0!</v>
      </c>
    </row>
    <row r="494" spans="6:7" x14ac:dyDescent="0.25">
      <c r="F494" s="3" t="e">
        <f t="shared" si="14"/>
        <v>#DIV/0!</v>
      </c>
      <c r="G494" s="4" t="e">
        <f t="shared" si="15"/>
        <v>#DIV/0!</v>
      </c>
    </row>
    <row r="495" spans="6:7" x14ac:dyDescent="0.25">
      <c r="F495" s="3" t="e">
        <f t="shared" si="14"/>
        <v>#DIV/0!</v>
      </c>
      <c r="G495" s="4" t="e">
        <f t="shared" si="15"/>
        <v>#DIV/0!</v>
      </c>
    </row>
    <row r="496" spans="6:7" x14ac:dyDescent="0.25">
      <c r="F496" s="3" t="e">
        <f t="shared" si="14"/>
        <v>#DIV/0!</v>
      </c>
      <c r="G496" s="4" t="e">
        <f t="shared" si="15"/>
        <v>#DIV/0!</v>
      </c>
    </row>
    <row r="497" spans="6:7" x14ac:dyDescent="0.25">
      <c r="F497" s="3" t="e">
        <f t="shared" si="14"/>
        <v>#DIV/0!</v>
      </c>
      <c r="G497" s="4" t="e">
        <f t="shared" si="15"/>
        <v>#DIV/0!</v>
      </c>
    </row>
    <row r="498" spans="6:7" x14ac:dyDescent="0.25">
      <c r="F498" s="3" t="e">
        <f t="shared" si="14"/>
        <v>#DIV/0!</v>
      </c>
      <c r="G498" s="4" t="e">
        <f t="shared" si="15"/>
        <v>#DIV/0!</v>
      </c>
    </row>
    <row r="499" spans="6:7" x14ac:dyDescent="0.25">
      <c r="F499" s="3" t="e">
        <f t="shared" si="14"/>
        <v>#DIV/0!</v>
      </c>
      <c r="G499" s="4" t="e">
        <f t="shared" si="15"/>
        <v>#DIV/0!</v>
      </c>
    </row>
    <row r="500" spans="6:7" x14ac:dyDescent="0.25">
      <c r="F500" s="3" t="e">
        <f t="shared" si="14"/>
        <v>#DIV/0!</v>
      </c>
      <c r="G500" s="4" t="e">
        <f t="shared" si="15"/>
        <v>#DIV/0!</v>
      </c>
    </row>
    <row r="501" spans="6:7" x14ac:dyDescent="0.25">
      <c r="F501" s="3" t="e">
        <f t="shared" si="14"/>
        <v>#DIV/0!</v>
      </c>
      <c r="G501" s="4" t="e">
        <f t="shared" si="15"/>
        <v>#DIV/0!</v>
      </c>
    </row>
    <row r="502" spans="6:7" x14ac:dyDescent="0.25">
      <c r="F502" s="3" t="e">
        <f t="shared" si="14"/>
        <v>#DIV/0!</v>
      </c>
      <c r="G502" s="4" t="e">
        <f t="shared" si="15"/>
        <v>#DIV/0!</v>
      </c>
    </row>
    <row r="503" spans="6:7" x14ac:dyDescent="0.25">
      <c r="F503" s="3" t="e">
        <f t="shared" si="14"/>
        <v>#DIV/0!</v>
      </c>
      <c r="G503" s="4" t="e">
        <f t="shared" si="15"/>
        <v>#DIV/0!</v>
      </c>
    </row>
    <row r="504" spans="6:7" x14ac:dyDescent="0.25">
      <c r="F504" s="3" t="e">
        <f t="shared" si="14"/>
        <v>#DIV/0!</v>
      </c>
      <c r="G504" s="4" t="e">
        <f t="shared" si="15"/>
        <v>#DIV/0!</v>
      </c>
    </row>
    <row r="505" spans="6:7" x14ac:dyDescent="0.25">
      <c r="F505" s="3" t="e">
        <f t="shared" si="14"/>
        <v>#DIV/0!</v>
      </c>
      <c r="G505" s="4" t="e">
        <f t="shared" si="15"/>
        <v>#DIV/0!</v>
      </c>
    </row>
    <row r="506" spans="6:7" x14ac:dyDescent="0.25">
      <c r="F506" s="3" t="e">
        <f t="shared" si="14"/>
        <v>#DIV/0!</v>
      </c>
      <c r="G506" s="4" t="e">
        <f t="shared" si="15"/>
        <v>#DIV/0!</v>
      </c>
    </row>
    <row r="507" spans="6:7" x14ac:dyDescent="0.25">
      <c r="F507" s="3" t="e">
        <f t="shared" si="14"/>
        <v>#DIV/0!</v>
      </c>
      <c r="G507" s="4" t="e">
        <f t="shared" si="15"/>
        <v>#DIV/0!</v>
      </c>
    </row>
    <row r="508" spans="6:7" x14ac:dyDescent="0.25">
      <c r="F508" s="3" t="e">
        <f t="shared" si="14"/>
        <v>#DIV/0!</v>
      </c>
      <c r="G508" s="4" t="e">
        <f t="shared" si="15"/>
        <v>#DIV/0!</v>
      </c>
    </row>
    <row r="509" spans="6:7" x14ac:dyDescent="0.25">
      <c r="F509" s="3" t="e">
        <f t="shared" si="14"/>
        <v>#DIV/0!</v>
      </c>
      <c r="G509" s="4" t="e">
        <f t="shared" si="15"/>
        <v>#DIV/0!</v>
      </c>
    </row>
    <row r="510" spans="6:7" x14ac:dyDescent="0.25">
      <c r="F510" s="3" t="e">
        <f t="shared" si="14"/>
        <v>#DIV/0!</v>
      </c>
      <c r="G510" s="4" t="e">
        <f t="shared" si="15"/>
        <v>#DIV/0!</v>
      </c>
    </row>
    <row r="511" spans="6:7" x14ac:dyDescent="0.25">
      <c r="F511" s="3" t="e">
        <f t="shared" si="14"/>
        <v>#DIV/0!</v>
      </c>
      <c r="G511" s="4" t="e">
        <f t="shared" si="15"/>
        <v>#DIV/0!</v>
      </c>
    </row>
    <row r="512" spans="6:7" x14ac:dyDescent="0.25">
      <c r="F512" s="3" t="e">
        <f t="shared" si="14"/>
        <v>#DIV/0!</v>
      </c>
      <c r="G512" s="4" t="e">
        <f t="shared" si="15"/>
        <v>#DIV/0!</v>
      </c>
    </row>
    <row r="513" spans="6:7" x14ac:dyDescent="0.25">
      <c r="F513" s="3" t="e">
        <f t="shared" si="14"/>
        <v>#DIV/0!</v>
      </c>
      <c r="G513" s="4" t="e">
        <f t="shared" si="15"/>
        <v>#DIV/0!</v>
      </c>
    </row>
    <row r="514" spans="6:7" x14ac:dyDescent="0.25">
      <c r="F514" s="3" t="e">
        <f t="shared" si="14"/>
        <v>#DIV/0!</v>
      </c>
      <c r="G514" s="4" t="e">
        <f t="shared" si="15"/>
        <v>#DIV/0!</v>
      </c>
    </row>
    <row r="515" spans="6:7" x14ac:dyDescent="0.25">
      <c r="F515" s="3" t="e">
        <f t="shared" ref="F515:F578" si="16">ROUNDUP((C515)/D515,0)</f>
        <v>#DIV/0!</v>
      </c>
      <c r="G515" s="4" t="e">
        <f t="shared" ref="G515:G578" si="17">F515*E515</f>
        <v>#DIV/0!</v>
      </c>
    </row>
    <row r="516" spans="6:7" x14ac:dyDescent="0.25">
      <c r="F516" s="3" t="e">
        <f t="shared" si="16"/>
        <v>#DIV/0!</v>
      </c>
      <c r="G516" s="4" t="e">
        <f t="shared" si="17"/>
        <v>#DIV/0!</v>
      </c>
    </row>
    <row r="517" spans="6:7" x14ac:dyDescent="0.25">
      <c r="F517" s="3" t="e">
        <f t="shared" si="16"/>
        <v>#DIV/0!</v>
      </c>
      <c r="G517" s="4" t="e">
        <f t="shared" si="17"/>
        <v>#DIV/0!</v>
      </c>
    </row>
    <row r="518" spans="6:7" x14ac:dyDescent="0.25">
      <c r="F518" s="3" t="e">
        <f t="shared" si="16"/>
        <v>#DIV/0!</v>
      </c>
      <c r="G518" s="4" t="e">
        <f t="shared" si="17"/>
        <v>#DIV/0!</v>
      </c>
    </row>
    <row r="519" spans="6:7" x14ac:dyDescent="0.25">
      <c r="F519" s="3" t="e">
        <f t="shared" si="16"/>
        <v>#DIV/0!</v>
      </c>
      <c r="G519" s="4" t="e">
        <f t="shared" si="17"/>
        <v>#DIV/0!</v>
      </c>
    </row>
    <row r="520" spans="6:7" x14ac:dyDescent="0.25">
      <c r="F520" s="3" t="e">
        <f t="shared" si="16"/>
        <v>#DIV/0!</v>
      </c>
      <c r="G520" s="4" t="e">
        <f t="shared" si="17"/>
        <v>#DIV/0!</v>
      </c>
    </row>
    <row r="521" spans="6:7" x14ac:dyDescent="0.25">
      <c r="F521" s="3" t="e">
        <f t="shared" si="16"/>
        <v>#DIV/0!</v>
      </c>
      <c r="G521" s="4" t="e">
        <f t="shared" si="17"/>
        <v>#DIV/0!</v>
      </c>
    </row>
    <row r="522" spans="6:7" x14ac:dyDescent="0.25">
      <c r="F522" s="3" t="e">
        <f t="shared" si="16"/>
        <v>#DIV/0!</v>
      </c>
      <c r="G522" s="4" t="e">
        <f t="shared" si="17"/>
        <v>#DIV/0!</v>
      </c>
    </row>
    <row r="523" spans="6:7" x14ac:dyDescent="0.25">
      <c r="F523" s="3" t="e">
        <f t="shared" si="16"/>
        <v>#DIV/0!</v>
      </c>
      <c r="G523" s="4" t="e">
        <f t="shared" si="17"/>
        <v>#DIV/0!</v>
      </c>
    </row>
    <row r="524" spans="6:7" x14ac:dyDescent="0.25">
      <c r="F524" s="3" t="e">
        <f t="shared" si="16"/>
        <v>#DIV/0!</v>
      </c>
      <c r="G524" s="4" t="e">
        <f t="shared" si="17"/>
        <v>#DIV/0!</v>
      </c>
    </row>
    <row r="525" spans="6:7" x14ac:dyDescent="0.25">
      <c r="F525" s="3" t="e">
        <f t="shared" si="16"/>
        <v>#DIV/0!</v>
      </c>
      <c r="G525" s="4" t="e">
        <f t="shared" si="17"/>
        <v>#DIV/0!</v>
      </c>
    </row>
    <row r="526" spans="6:7" x14ac:dyDescent="0.25">
      <c r="F526" s="3" t="e">
        <f t="shared" si="16"/>
        <v>#DIV/0!</v>
      </c>
      <c r="G526" s="4" t="e">
        <f t="shared" si="17"/>
        <v>#DIV/0!</v>
      </c>
    </row>
    <row r="527" spans="6:7" x14ac:dyDescent="0.25">
      <c r="F527" s="3" t="e">
        <f t="shared" si="16"/>
        <v>#DIV/0!</v>
      </c>
      <c r="G527" s="4" t="e">
        <f t="shared" si="17"/>
        <v>#DIV/0!</v>
      </c>
    </row>
    <row r="528" spans="6:7" x14ac:dyDescent="0.25">
      <c r="F528" s="3" t="e">
        <f t="shared" si="16"/>
        <v>#DIV/0!</v>
      </c>
      <c r="G528" s="4" t="e">
        <f t="shared" si="17"/>
        <v>#DIV/0!</v>
      </c>
    </row>
    <row r="529" spans="6:7" x14ac:dyDescent="0.25">
      <c r="F529" s="3" t="e">
        <f t="shared" si="16"/>
        <v>#DIV/0!</v>
      </c>
      <c r="G529" s="4" t="e">
        <f t="shared" si="17"/>
        <v>#DIV/0!</v>
      </c>
    </row>
    <row r="530" spans="6:7" x14ac:dyDescent="0.25">
      <c r="F530" s="3" t="e">
        <f t="shared" si="16"/>
        <v>#DIV/0!</v>
      </c>
      <c r="G530" s="4" t="e">
        <f t="shared" si="17"/>
        <v>#DIV/0!</v>
      </c>
    </row>
    <row r="531" spans="6:7" x14ac:dyDescent="0.25">
      <c r="F531" s="3" t="e">
        <f t="shared" si="16"/>
        <v>#DIV/0!</v>
      </c>
      <c r="G531" s="4" t="e">
        <f t="shared" si="17"/>
        <v>#DIV/0!</v>
      </c>
    </row>
    <row r="532" spans="6:7" x14ac:dyDescent="0.25">
      <c r="F532" s="3" t="e">
        <f t="shared" si="16"/>
        <v>#DIV/0!</v>
      </c>
      <c r="G532" s="4" t="e">
        <f t="shared" si="17"/>
        <v>#DIV/0!</v>
      </c>
    </row>
    <row r="533" spans="6:7" x14ac:dyDescent="0.25">
      <c r="F533" s="3" t="e">
        <f t="shared" si="16"/>
        <v>#DIV/0!</v>
      </c>
      <c r="G533" s="4" t="e">
        <f t="shared" si="17"/>
        <v>#DIV/0!</v>
      </c>
    </row>
    <row r="534" spans="6:7" x14ac:dyDescent="0.25">
      <c r="F534" s="3" t="e">
        <f t="shared" si="16"/>
        <v>#DIV/0!</v>
      </c>
      <c r="G534" s="4" t="e">
        <f t="shared" si="17"/>
        <v>#DIV/0!</v>
      </c>
    </row>
    <row r="535" spans="6:7" x14ac:dyDescent="0.25">
      <c r="F535" s="3" t="e">
        <f t="shared" si="16"/>
        <v>#DIV/0!</v>
      </c>
      <c r="G535" s="4" t="e">
        <f t="shared" si="17"/>
        <v>#DIV/0!</v>
      </c>
    </row>
    <row r="536" spans="6:7" x14ac:dyDescent="0.25">
      <c r="F536" s="3" t="e">
        <f t="shared" si="16"/>
        <v>#DIV/0!</v>
      </c>
      <c r="G536" s="4" t="e">
        <f t="shared" si="17"/>
        <v>#DIV/0!</v>
      </c>
    </row>
    <row r="537" spans="6:7" x14ac:dyDescent="0.25">
      <c r="F537" s="3" t="e">
        <f t="shared" si="16"/>
        <v>#DIV/0!</v>
      </c>
      <c r="G537" s="4" t="e">
        <f t="shared" si="17"/>
        <v>#DIV/0!</v>
      </c>
    </row>
    <row r="538" spans="6:7" x14ac:dyDescent="0.25">
      <c r="F538" s="3" t="e">
        <f t="shared" si="16"/>
        <v>#DIV/0!</v>
      </c>
      <c r="G538" s="4" t="e">
        <f t="shared" si="17"/>
        <v>#DIV/0!</v>
      </c>
    </row>
    <row r="539" spans="6:7" x14ac:dyDescent="0.25">
      <c r="F539" s="3" t="e">
        <f t="shared" si="16"/>
        <v>#DIV/0!</v>
      </c>
      <c r="G539" s="4" t="e">
        <f t="shared" si="17"/>
        <v>#DIV/0!</v>
      </c>
    </row>
    <row r="540" spans="6:7" x14ac:dyDescent="0.25">
      <c r="F540" s="3" t="e">
        <f t="shared" si="16"/>
        <v>#DIV/0!</v>
      </c>
      <c r="G540" s="4" t="e">
        <f t="shared" si="17"/>
        <v>#DIV/0!</v>
      </c>
    </row>
    <row r="541" spans="6:7" x14ac:dyDescent="0.25">
      <c r="F541" s="3" t="e">
        <f t="shared" si="16"/>
        <v>#DIV/0!</v>
      </c>
      <c r="G541" s="4" t="e">
        <f t="shared" si="17"/>
        <v>#DIV/0!</v>
      </c>
    </row>
    <row r="542" spans="6:7" x14ac:dyDescent="0.25">
      <c r="F542" s="3" t="e">
        <f t="shared" si="16"/>
        <v>#DIV/0!</v>
      </c>
      <c r="G542" s="4" t="e">
        <f t="shared" si="17"/>
        <v>#DIV/0!</v>
      </c>
    </row>
    <row r="543" spans="6:7" x14ac:dyDescent="0.25">
      <c r="F543" s="3" t="e">
        <f t="shared" si="16"/>
        <v>#DIV/0!</v>
      </c>
      <c r="G543" s="4" t="e">
        <f t="shared" si="17"/>
        <v>#DIV/0!</v>
      </c>
    </row>
    <row r="544" spans="6:7" x14ac:dyDescent="0.25">
      <c r="F544" s="3" t="e">
        <f t="shared" si="16"/>
        <v>#DIV/0!</v>
      </c>
      <c r="G544" s="4" t="e">
        <f t="shared" si="17"/>
        <v>#DIV/0!</v>
      </c>
    </row>
    <row r="545" spans="6:7" x14ac:dyDescent="0.25">
      <c r="F545" s="3" t="e">
        <f t="shared" si="16"/>
        <v>#DIV/0!</v>
      </c>
      <c r="G545" s="4" t="e">
        <f t="shared" si="17"/>
        <v>#DIV/0!</v>
      </c>
    </row>
    <row r="546" spans="6:7" x14ac:dyDescent="0.25">
      <c r="F546" s="3" t="e">
        <f t="shared" si="16"/>
        <v>#DIV/0!</v>
      </c>
      <c r="G546" s="4" t="e">
        <f t="shared" si="17"/>
        <v>#DIV/0!</v>
      </c>
    </row>
    <row r="547" spans="6:7" x14ac:dyDescent="0.25">
      <c r="F547" s="3" t="e">
        <f t="shared" si="16"/>
        <v>#DIV/0!</v>
      </c>
      <c r="G547" s="4" t="e">
        <f t="shared" si="17"/>
        <v>#DIV/0!</v>
      </c>
    </row>
    <row r="548" spans="6:7" x14ac:dyDescent="0.25">
      <c r="F548" s="3" t="e">
        <f t="shared" si="16"/>
        <v>#DIV/0!</v>
      </c>
      <c r="G548" s="4" t="e">
        <f t="shared" si="17"/>
        <v>#DIV/0!</v>
      </c>
    </row>
    <row r="549" spans="6:7" x14ac:dyDescent="0.25">
      <c r="F549" s="3" t="e">
        <f t="shared" si="16"/>
        <v>#DIV/0!</v>
      </c>
      <c r="G549" s="4" t="e">
        <f t="shared" si="17"/>
        <v>#DIV/0!</v>
      </c>
    </row>
    <row r="550" spans="6:7" x14ac:dyDescent="0.25">
      <c r="F550" s="3" t="e">
        <f t="shared" si="16"/>
        <v>#DIV/0!</v>
      </c>
      <c r="G550" s="4" t="e">
        <f t="shared" si="17"/>
        <v>#DIV/0!</v>
      </c>
    </row>
    <row r="551" spans="6:7" x14ac:dyDescent="0.25">
      <c r="F551" s="3" t="e">
        <f t="shared" si="16"/>
        <v>#DIV/0!</v>
      </c>
      <c r="G551" s="4" t="e">
        <f t="shared" si="17"/>
        <v>#DIV/0!</v>
      </c>
    </row>
    <row r="552" spans="6:7" x14ac:dyDescent="0.25">
      <c r="F552" s="3" t="e">
        <f t="shared" si="16"/>
        <v>#DIV/0!</v>
      </c>
      <c r="G552" s="4" t="e">
        <f t="shared" si="17"/>
        <v>#DIV/0!</v>
      </c>
    </row>
    <row r="553" spans="6:7" x14ac:dyDescent="0.25">
      <c r="F553" s="3" t="e">
        <f t="shared" si="16"/>
        <v>#DIV/0!</v>
      </c>
      <c r="G553" s="4" t="e">
        <f t="shared" si="17"/>
        <v>#DIV/0!</v>
      </c>
    </row>
    <row r="554" spans="6:7" x14ac:dyDescent="0.25">
      <c r="F554" s="3" t="e">
        <f t="shared" si="16"/>
        <v>#DIV/0!</v>
      </c>
      <c r="G554" s="4" t="e">
        <f t="shared" si="17"/>
        <v>#DIV/0!</v>
      </c>
    </row>
    <row r="555" spans="6:7" x14ac:dyDescent="0.25">
      <c r="F555" s="3" t="e">
        <f t="shared" si="16"/>
        <v>#DIV/0!</v>
      </c>
      <c r="G555" s="4" t="e">
        <f t="shared" si="17"/>
        <v>#DIV/0!</v>
      </c>
    </row>
    <row r="556" spans="6:7" x14ac:dyDescent="0.25">
      <c r="F556" s="3" t="e">
        <f t="shared" si="16"/>
        <v>#DIV/0!</v>
      </c>
      <c r="G556" s="4" t="e">
        <f t="shared" si="17"/>
        <v>#DIV/0!</v>
      </c>
    </row>
    <row r="557" spans="6:7" x14ac:dyDescent="0.25">
      <c r="F557" s="3" t="e">
        <f t="shared" si="16"/>
        <v>#DIV/0!</v>
      </c>
      <c r="G557" s="4" t="e">
        <f t="shared" si="17"/>
        <v>#DIV/0!</v>
      </c>
    </row>
    <row r="558" spans="6:7" x14ac:dyDescent="0.25">
      <c r="F558" s="3" t="e">
        <f t="shared" si="16"/>
        <v>#DIV/0!</v>
      </c>
      <c r="G558" s="4" t="e">
        <f t="shared" si="17"/>
        <v>#DIV/0!</v>
      </c>
    </row>
    <row r="559" spans="6:7" x14ac:dyDescent="0.25">
      <c r="F559" s="3" t="e">
        <f t="shared" si="16"/>
        <v>#DIV/0!</v>
      </c>
      <c r="G559" s="4" t="e">
        <f t="shared" si="17"/>
        <v>#DIV/0!</v>
      </c>
    </row>
    <row r="560" spans="6:7" x14ac:dyDescent="0.25">
      <c r="F560" s="3" t="e">
        <f t="shared" si="16"/>
        <v>#DIV/0!</v>
      </c>
      <c r="G560" s="4" t="e">
        <f t="shared" si="17"/>
        <v>#DIV/0!</v>
      </c>
    </row>
    <row r="561" spans="6:7" x14ac:dyDescent="0.25">
      <c r="F561" s="3" t="e">
        <f t="shared" si="16"/>
        <v>#DIV/0!</v>
      </c>
      <c r="G561" s="4" t="e">
        <f t="shared" si="17"/>
        <v>#DIV/0!</v>
      </c>
    </row>
    <row r="562" spans="6:7" x14ac:dyDescent="0.25">
      <c r="F562" s="3" t="e">
        <f t="shared" si="16"/>
        <v>#DIV/0!</v>
      </c>
      <c r="G562" s="4" t="e">
        <f t="shared" si="17"/>
        <v>#DIV/0!</v>
      </c>
    </row>
    <row r="563" spans="6:7" x14ac:dyDescent="0.25">
      <c r="F563" s="3" t="e">
        <f t="shared" si="16"/>
        <v>#DIV/0!</v>
      </c>
      <c r="G563" s="4" t="e">
        <f t="shared" si="17"/>
        <v>#DIV/0!</v>
      </c>
    </row>
    <row r="564" spans="6:7" x14ac:dyDescent="0.25">
      <c r="F564" s="3" t="e">
        <f t="shared" si="16"/>
        <v>#DIV/0!</v>
      </c>
      <c r="G564" s="4" t="e">
        <f t="shared" si="17"/>
        <v>#DIV/0!</v>
      </c>
    </row>
    <row r="565" spans="6:7" x14ac:dyDescent="0.25">
      <c r="F565" s="3" t="e">
        <f t="shared" si="16"/>
        <v>#DIV/0!</v>
      </c>
      <c r="G565" s="4" t="e">
        <f t="shared" si="17"/>
        <v>#DIV/0!</v>
      </c>
    </row>
    <row r="566" spans="6:7" x14ac:dyDescent="0.25">
      <c r="F566" s="3" t="e">
        <f t="shared" si="16"/>
        <v>#DIV/0!</v>
      </c>
      <c r="G566" s="4" t="e">
        <f t="shared" si="17"/>
        <v>#DIV/0!</v>
      </c>
    </row>
    <row r="567" spans="6:7" x14ac:dyDescent="0.25">
      <c r="F567" s="3" t="e">
        <f t="shared" si="16"/>
        <v>#DIV/0!</v>
      </c>
      <c r="G567" s="4" t="e">
        <f t="shared" si="17"/>
        <v>#DIV/0!</v>
      </c>
    </row>
    <row r="568" spans="6:7" x14ac:dyDescent="0.25">
      <c r="F568" s="3" t="e">
        <f t="shared" si="16"/>
        <v>#DIV/0!</v>
      </c>
      <c r="G568" s="4" t="e">
        <f t="shared" si="17"/>
        <v>#DIV/0!</v>
      </c>
    </row>
    <row r="569" spans="6:7" x14ac:dyDescent="0.25">
      <c r="F569" s="3" t="e">
        <f t="shared" si="16"/>
        <v>#DIV/0!</v>
      </c>
      <c r="G569" s="4" t="e">
        <f t="shared" si="17"/>
        <v>#DIV/0!</v>
      </c>
    </row>
    <row r="570" spans="6:7" x14ac:dyDescent="0.25">
      <c r="F570" s="3" t="e">
        <f t="shared" si="16"/>
        <v>#DIV/0!</v>
      </c>
      <c r="G570" s="4" t="e">
        <f t="shared" si="17"/>
        <v>#DIV/0!</v>
      </c>
    </row>
    <row r="571" spans="6:7" x14ac:dyDescent="0.25">
      <c r="F571" s="3" t="e">
        <f t="shared" si="16"/>
        <v>#DIV/0!</v>
      </c>
      <c r="G571" s="4" t="e">
        <f t="shared" si="17"/>
        <v>#DIV/0!</v>
      </c>
    </row>
    <row r="572" spans="6:7" x14ac:dyDescent="0.25">
      <c r="F572" s="3" t="e">
        <f t="shared" si="16"/>
        <v>#DIV/0!</v>
      </c>
      <c r="G572" s="4" t="e">
        <f t="shared" si="17"/>
        <v>#DIV/0!</v>
      </c>
    </row>
    <row r="573" spans="6:7" x14ac:dyDescent="0.25">
      <c r="F573" s="3" t="e">
        <f t="shared" si="16"/>
        <v>#DIV/0!</v>
      </c>
      <c r="G573" s="4" t="e">
        <f t="shared" si="17"/>
        <v>#DIV/0!</v>
      </c>
    </row>
    <row r="574" spans="6:7" x14ac:dyDescent="0.25">
      <c r="F574" s="3" t="e">
        <f t="shared" si="16"/>
        <v>#DIV/0!</v>
      </c>
      <c r="G574" s="4" t="e">
        <f t="shared" si="17"/>
        <v>#DIV/0!</v>
      </c>
    </row>
    <row r="575" spans="6:7" x14ac:dyDescent="0.25">
      <c r="F575" s="3" t="e">
        <f t="shared" si="16"/>
        <v>#DIV/0!</v>
      </c>
      <c r="G575" s="4" t="e">
        <f t="shared" si="17"/>
        <v>#DIV/0!</v>
      </c>
    </row>
    <row r="576" spans="6:7" x14ac:dyDescent="0.25">
      <c r="F576" s="3" t="e">
        <f t="shared" si="16"/>
        <v>#DIV/0!</v>
      </c>
      <c r="G576" s="4" t="e">
        <f t="shared" si="17"/>
        <v>#DIV/0!</v>
      </c>
    </row>
    <row r="577" spans="6:7" x14ac:dyDescent="0.25">
      <c r="F577" s="3" t="e">
        <f t="shared" si="16"/>
        <v>#DIV/0!</v>
      </c>
      <c r="G577" s="4" t="e">
        <f t="shared" si="17"/>
        <v>#DIV/0!</v>
      </c>
    </row>
    <row r="578" spans="6:7" x14ac:dyDescent="0.25">
      <c r="F578" s="3" t="e">
        <f t="shared" si="16"/>
        <v>#DIV/0!</v>
      </c>
      <c r="G578" s="4" t="e">
        <f t="shared" si="17"/>
        <v>#DIV/0!</v>
      </c>
    </row>
    <row r="579" spans="6:7" x14ac:dyDescent="0.25">
      <c r="F579" s="3" t="e">
        <f t="shared" ref="F579:F635" si="18">ROUNDUP((C579)/D579,0)</f>
        <v>#DIV/0!</v>
      </c>
      <c r="G579" s="4" t="e">
        <f t="shared" ref="G579:G635" si="19">F579*E579</f>
        <v>#DIV/0!</v>
      </c>
    </row>
    <row r="580" spans="6:7" x14ac:dyDescent="0.25">
      <c r="F580" s="3" t="e">
        <f t="shared" si="18"/>
        <v>#DIV/0!</v>
      </c>
      <c r="G580" s="4" t="e">
        <f t="shared" si="19"/>
        <v>#DIV/0!</v>
      </c>
    </row>
    <row r="581" spans="6:7" x14ac:dyDescent="0.25">
      <c r="F581" s="3" t="e">
        <f t="shared" si="18"/>
        <v>#DIV/0!</v>
      </c>
      <c r="G581" s="4" t="e">
        <f t="shared" si="19"/>
        <v>#DIV/0!</v>
      </c>
    </row>
    <row r="582" spans="6:7" x14ac:dyDescent="0.25">
      <c r="F582" s="3" t="e">
        <f t="shared" si="18"/>
        <v>#DIV/0!</v>
      </c>
      <c r="G582" s="4" t="e">
        <f t="shared" si="19"/>
        <v>#DIV/0!</v>
      </c>
    </row>
    <row r="583" spans="6:7" x14ac:dyDescent="0.25">
      <c r="F583" s="3" t="e">
        <f t="shared" si="18"/>
        <v>#DIV/0!</v>
      </c>
      <c r="G583" s="4" t="e">
        <f t="shared" si="19"/>
        <v>#DIV/0!</v>
      </c>
    </row>
    <row r="584" spans="6:7" x14ac:dyDescent="0.25">
      <c r="F584" s="3" t="e">
        <f t="shared" si="18"/>
        <v>#DIV/0!</v>
      </c>
      <c r="G584" s="4" t="e">
        <f t="shared" si="19"/>
        <v>#DIV/0!</v>
      </c>
    </row>
    <row r="585" spans="6:7" x14ac:dyDescent="0.25">
      <c r="F585" s="3" t="e">
        <f t="shared" si="18"/>
        <v>#DIV/0!</v>
      </c>
      <c r="G585" s="4" t="e">
        <f t="shared" si="19"/>
        <v>#DIV/0!</v>
      </c>
    </row>
    <row r="586" spans="6:7" x14ac:dyDescent="0.25">
      <c r="F586" s="3" t="e">
        <f t="shared" si="18"/>
        <v>#DIV/0!</v>
      </c>
      <c r="G586" s="4" t="e">
        <f t="shared" si="19"/>
        <v>#DIV/0!</v>
      </c>
    </row>
    <row r="587" spans="6:7" x14ac:dyDescent="0.25">
      <c r="F587" s="3" t="e">
        <f t="shared" si="18"/>
        <v>#DIV/0!</v>
      </c>
      <c r="G587" s="4" t="e">
        <f t="shared" si="19"/>
        <v>#DIV/0!</v>
      </c>
    </row>
    <row r="588" spans="6:7" x14ac:dyDescent="0.25">
      <c r="F588" s="3" t="e">
        <f t="shared" si="18"/>
        <v>#DIV/0!</v>
      </c>
      <c r="G588" s="4" t="e">
        <f t="shared" si="19"/>
        <v>#DIV/0!</v>
      </c>
    </row>
    <row r="589" spans="6:7" x14ac:dyDescent="0.25">
      <c r="F589" s="3" t="e">
        <f t="shared" si="18"/>
        <v>#DIV/0!</v>
      </c>
      <c r="G589" s="4" t="e">
        <f t="shared" si="19"/>
        <v>#DIV/0!</v>
      </c>
    </row>
    <row r="590" spans="6:7" x14ac:dyDescent="0.25">
      <c r="F590" s="3" t="e">
        <f t="shared" si="18"/>
        <v>#DIV/0!</v>
      </c>
      <c r="G590" s="4" t="e">
        <f t="shared" si="19"/>
        <v>#DIV/0!</v>
      </c>
    </row>
    <row r="591" spans="6:7" x14ac:dyDescent="0.25">
      <c r="F591" s="3" t="e">
        <f t="shared" si="18"/>
        <v>#DIV/0!</v>
      </c>
      <c r="G591" s="4" t="e">
        <f t="shared" si="19"/>
        <v>#DIV/0!</v>
      </c>
    </row>
    <row r="592" spans="6:7" x14ac:dyDescent="0.25">
      <c r="F592" s="3" t="e">
        <f t="shared" si="18"/>
        <v>#DIV/0!</v>
      </c>
      <c r="G592" s="4" t="e">
        <f t="shared" si="19"/>
        <v>#DIV/0!</v>
      </c>
    </row>
    <row r="593" spans="6:7" x14ac:dyDescent="0.25">
      <c r="F593" s="3" t="e">
        <f t="shared" si="18"/>
        <v>#DIV/0!</v>
      </c>
      <c r="G593" s="4" t="e">
        <f t="shared" si="19"/>
        <v>#DIV/0!</v>
      </c>
    </row>
    <row r="594" spans="6:7" x14ac:dyDescent="0.25">
      <c r="F594" s="3" t="e">
        <f t="shared" si="18"/>
        <v>#DIV/0!</v>
      </c>
      <c r="G594" s="4" t="e">
        <f t="shared" si="19"/>
        <v>#DIV/0!</v>
      </c>
    </row>
    <row r="595" spans="6:7" x14ac:dyDescent="0.25">
      <c r="F595" s="3" t="e">
        <f t="shared" si="18"/>
        <v>#DIV/0!</v>
      </c>
      <c r="G595" s="4" t="e">
        <f t="shared" si="19"/>
        <v>#DIV/0!</v>
      </c>
    </row>
    <row r="596" spans="6:7" x14ac:dyDescent="0.25">
      <c r="F596" s="3" t="e">
        <f t="shared" si="18"/>
        <v>#DIV/0!</v>
      </c>
      <c r="G596" s="4" t="e">
        <f t="shared" si="19"/>
        <v>#DIV/0!</v>
      </c>
    </row>
    <row r="597" spans="6:7" x14ac:dyDescent="0.25">
      <c r="F597" s="3" t="e">
        <f t="shared" si="18"/>
        <v>#DIV/0!</v>
      </c>
      <c r="G597" s="4" t="e">
        <f t="shared" si="19"/>
        <v>#DIV/0!</v>
      </c>
    </row>
    <row r="598" spans="6:7" x14ac:dyDescent="0.25">
      <c r="F598" s="3" t="e">
        <f t="shared" si="18"/>
        <v>#DIV/0!</v>
      </c>
      <c r="G598" s="4" t="e">
        <f t="shared" si="19"/>
        <v>#DIV/0!</v>
      </c>
    </row>
    <row r="599" spans="6:7" x14ac:dyDescent="0.25">
      <c r="F599" s="3" t="e">
        <f t="shared" si="18"/>
        <v>#DIV/0!</v>
      </c>
      <c r="G599" s="4" t="e">
        <f t="shared" si="19"/>
        <v>#DIV/0!</v>
      </c>
    </row>
    <row r="600" spans="6:7" x14ac:dyDescent="0.25">
      <c r="F600" s="3" t="e">
        <f t="shared" si="18"/>
        <v>#DIV/0!</v>
      </c>
      <c r="G600" s="4" t="e">
        <f t="shared" si="19"/>
        <v>#DIV/0!</v>
      </c>
    </row>
    <row r="601" spans="6:7" x14ac:dyDescent="0.25">
      <c r="F601" s="3" t="e">
        <f t="shared" si="18"/>
        <v>#DIV/0!</v>
      </c>
      <c r="G601" s="4" t="e">
        <f t="shared" si="19"/>
        <v>#DIV/0!</v>
      </c>
    </row>
    <row r="602" spans="6:7" x14ac:dyDescent="0.25">
      <c r="F602" s="3" t="e">
        <f t="shared" si="18"/>
        <v>#DIV/0!</v>
      </c>
      <c r="G602" s="4" t="e">
        <f t="shared" si="19"/>
        <v>#DIV/0!</v>
      </c>
    </row>
    <row r="603" spans="6:7" x14ac:dyDescent="0.25">
      <c r="F603" s="3" t="e">
        <f t="shared" si="18"/>
        <v>#DIV/0!</v>
      </c>
      <c r="G603" s="4" t="e">
        <f t="shared" si="19"/>
        <v>#DIV/0!</v>
      </c>
    </row>
    <row r="604" spans="6:7" x14ac:dyDescent="0.25">
      <c r="F604" s="3" t="e">
        <f t="shared" si="18"/>
        <v>#DIV/0!</v>
      </c>
      <c r="G604" s="4" t="e">
        <f t="shared" si="19"/>
        <v>#DIV/0!</v>
      </c>
    </row>
    <row r="605" spans="6:7" x14ac:dyDescent="0.25">
      <c r="F605" s="3" t="e">
        <f t="shared" si="18"/>
        <v>#DIV/0!</v>
      </c>
      <c r="G605" s="4" t="e">
        <f t="shared" si="19"/>
        <v>#DIV/0!</v>
      </c>
    </row>
    <row r="606" spans="6:7" x14ac:dyDescent="0.25">
      <c r="F606" s="3" t="e">
        <f t="shared" si="18"/>
        <v>#DIV/0!</v>
      </c>
      <c r="G606" s="4" t="e">
        <f t="shared" si="19"/>
        <v>#DIV/0!</v>
      </c>
    </row>
    <row r="607" spans="6:7" x14ac:dyDescent="0.25">
      <c r="F607" s="3" t="e">
        <f t="shared" si="18"/>
        <v>#DIV/0!</v>
      </c>
      <c r="G607" s="4" t="e">
        <f t="shared" si="19"/>
        <v>#DIV/0!</v>
      </c>
    </row>
    <row r="608" spans="6:7" x14ac:dyDescent="0.25">
      <c r="F608" s="3" t="e">
        <f t="shared" si="18"/>
        <v>#DIV/0!</v>
      </c>
      <c r="G608" s="4" t="e">
        <f t="shared" si="19"/>
        <v>#DIV/0!</v>
      </c>
    </row>
    <row r="609" spans="6:7" x14ac:dyDescent="0.25">
      <c r="F609" s="3" t="e">
        <f t="shared" si="18"/>
        <v>#DIV/0!</v>
      </c>
      <c r="G609" s="4" t="e">
        <f t="shared" si="19"/>
        <v>#DIV/0!</v>
      </c>
    </row>
    <row r="610" spans="6:7" x14ac:dyDescent="0.25">
      <c r="F610" s="3" t="e">
        <f t="shared" si="18"/>
        <v>#DIV/0!</v>
      </c>
      <c r="G610" s="4" t="e">
        <f t="shared" si="19"/>
        <v>#DIV/0!</v>
      </c>
    </row>
    <row r="611" spans="6:7" x14ac:dyDescent="0.25">
      <c r="F611" s="3" t="e">
        <f t="shared" si="18"/>
        <v>#DIV/0!</v>
      </c>
      <c r="G611" s="4" t="e">
        <f t="shared" si="19"/>
        <v>#DIV/0!</v>
      </c>
    </row>
    <row r="612" spans="6:7" x14ac:dyDescent="0.25">
      <c r="F612" s="3" t="e">
        <f t="shared" si="18"/>
        <v>#DIV/0!</v>
      </c>
      <c r="G612" s="4" t="e">
        <f t="shared" si="19"/>
        <v>#DIV/0!</v>
      </c>
    </row>
    <row r="613" spans="6:7" x14ac:dyDescent="0.25">
      <c r="F613" s="3" t="e">
        <f t="shared" si="18"/>
        <v>#DIV/0!</v>
      </c>
      <c r="G613" s="4" t="e">
        <f t="shared" si="19"/>
        <v>#DIV/0!</v>
      </c>
    </row>
    <row r="614" spans="6:7" x14ac:dyDescent="0.25">
      <c r="F614" s="3" t="e">
        <f t="shared" si="18"/>
        <v>#DIV/0!</v>
      </c>
      <c r="G614" s="4" t="e">
        <f t="shared" si="19"/>
        <v>#DIV/0!</v>
      </c>
    </row>
    <row r="615" spans="6:7" x14ac:dyDescent="0.25">
      <c r="F615" s="3" t="e">
        <f t="shared" si="18"/>
        <v>#DIV/0!</v>
      </c>
      <c r="G615" s="4" t="e">
        <f t="shared" si="19"/>
        <v>#DIV/0!</v>
      </c>
    </row>
    <row r="616" spans="6:7" x14ac:dyDescent="0.25">
      <c r="F616" s="3" t="e">
        <f t="shared" si="18"/>
        <v>#DIV/0!</v>
      </c>
      <c r="G616" s="4" t="e">
        <f t="shared" si="19"/>
        <v>#DIV/0!</v>
      </c>
    </row>
    <row r="617" spans="6:7" x14ac:dyDescent="0.25">
      <c r="F617" s="3" t="e">
        <f t="shared" si="18"/>
        <v>#DIV/0!</v>
      </c>
      <c r="G617" s="4" t="e">
        <f t="shared" si="19"/>
        <v>#DIV/0!</v>
      </c>
    </row>
    <row r="618" spans="6:7" x14ac:dyDescent="0.25">
      <c r="F618" s="3" t="e">
        <f t="shared" si="18"/>
        <v>#DIV/0!</v>
      </c>
      <c r="G618" s="4" t="e">
        <f t="shared" si="19"/>
        <v>#DIV/0!</v>
      </c>
    </row>
    <row r="619" spans="6:7" x14ac:dyDescent="0.25">
      <c r="F619" s="3" t="e">
        <f t="shared" si="18"/>
        <v>#DIV/0!</v>
      </c>
      <c r="G619" s="4" t="e">
        <f t="shared" si="19"/>
        <v>#DIV/0!</v>
      </c>
    </row>
    <row r="620" spans="6:7" x14ac:dyDescent="0.25">
      <c r="F620" s="3" t="e">
        <f t="shared" si="18"/>
        <v>#DIV/0!</v>
      </c>
      <c r="G620" s="4" t="e">
        <f t="shared" si="19"/>
        <v>#DIV/0!</v>
      </c>
    </row>
    <row r="621" spans="6:7" x14ac:dyDescent="0.25">
      <c r="F621" s="3" t="e">
        <f t="shared" si="18"/>
        <v>#DIV/0!</v>
      </c>
      <c r="G621" s="4" t="e">
        <f t="shared" si="19"/>
        <v>#DIV/0!</v>
      </c>
    </row>
    <row r="622" spans="6:7" x14ac:dyDescent="0.25">
      <c r="F622" s="3" t="e">
        <f t="shared" si="18"/>
        <v>#DIV/0!</v>
      </c>
      <c r="G622" s="4" t="e">
        <f t="shared" si="19"/>
        <v>#DIV/0!</v>
      </c>
    </row>
    <row r="623" spans="6:7" x14ac:dyDescent="0.25">
      <c r="F623" s="3" t="e">
        <f t="shared" si="18"/>
        <v>#DIV/0!</v>
      </c>
      <c r="G623" s="4" t="e">
        <f t="shared" si="19"/>
        <v>#DIV/0!</v>
      </c>
    </row>
    <row r="624" spans="6:7" x14ac:dyDescent="0.25">
      <c r="F624" s="3" t="e">
        <f t="shared" si="18"/>
        <v>#DIV/0!</v>
      </c>
      <c r="G624" s="4" t="e">
        <f t="shared" si="19"/>
        <v>#DIV/0!</v>
      </c>
    </row>
    <row r="625" spans="6:7" x14ac:dyDescent="0.25">
      <c r="F625" s="3" t="e">
        <f t="shared" si="18"/>
        <v>#DIV/0!</v>
      </c>
      <c r="G625" s="4" t="e">
        <f t="shared" si="19"/>
        <v>#DIV/0!</v>
      </c>
    </row>
    <row r="626" spans="6:7" x14ac:dyDescent="0.25">
      <c r="F626" s="3" t="e">
        <f t="shared" si="18"/>
        <v>#DIV/0!</v>
      </c>
      <c r="G626" s="4" t="e">
        <f t="shared" si="19"/>
        <v>#DIV/0!</v>
      </c>
    </row>
    <row r="627" spans="6:7" x14ac:dyDescent="0.25">
      <c r="F627" s="3" t="e">
        <f t="shared" si="18"/>
        <v>#DIV/0!</v>
      </c>
      <c r="G627" s="4" t="e">
        <f t="shared" si="19"/>
        <v>#DIV/0!</v>
      </c>
    </row>
    <row r="628" spans="6:7" x14ac:dyDescent="0.25">
      <c r="F628" s="3" t="e">
        <f t="shared" si="18"/>
        <v>#DIV/0!</v>
      </c>
      <c r="G628" s="4" t="e">
        <f t="shared" si="19"/>
        <v>#DIV/0!</v>
      </c>
    </row>
    <row r="629" spans="6:7" x14ac:dyDescent="0.25">
      <c r="F629" s="3" t="e">
        <f t="shared" si="18"/>
        <v>#DIV/0!</v>
      </c>
      <c r="G629" s="4" t="e">
        <f t="shared" si="19"/>
        <v>#DIV/0!</v>
      </c>
    </row>
    <row r="630" spans="6:7" x14ac:dyDescent="0.25">
      <c r="F630" s="3" t="e">
        <f t="shared" si="18"/>
        <v>#DIV/0!</v>
      </c>
      <c r="G630" s="4" t="e">
        <f t="shared" si="19"/>
        <v>#DIV/0!</v>
      </c>
    </row>
    <row r="631" spans="6:7" x14ac:dyDescent="0.25">
      <c r="F631" s="3" t="e">
        <f t="shared" si="18"/>
        <v>#DIV/0!</v>
      </c>
      <c r="G631" s="4" t="e">
        <f t="shared" si="19"/>
        <v>#DIV/0!</v>
      </c>
    </row>
    <row r="632" spans="6:7" x14ac:dyDescent="0.25">
      <c r="F632" s="3" t="e">
        <f t="shared" si="18"/>
        <v>#DIV/0!</v>
      </c>
      <c r="G632" s="4" t="e">
        <f t="shared" si="19"/>
        <v>#DIV/0!</v>
      </c>
    </row>
    <row r="633" spans="6:7" x14ac:dyDescent="0.25">
      <c r="F633" s="3" t="e">
        <f t="shared" si="18"/>
        <v>#DIV/0!</v>
      </c>
      <c r="G633" s="4" t="e">
        <f t="shared" si="19"/>
        <v>#DIV/0!</v>
      </c>
    </row>
    <row r="634" spans="6:7" x14ac:dyDescent="0.25">
      <c r="F634" s="3" t="e">
        <f t="shared" si="18"/>
        <v>#DIV/0!</v>
      </c>
      <c r="G634" s="4" t="e">
        <f t="shared" si="19"/>
        <v>#DIV/0!</v>
      </c>
    </row>
    <row r="635" spans="6:7" x14ac:dyDescent="0.25">
      <c r="F635" s="3" t="e">
        <f t="shared" si="18"/>
        <v>#DIV/0!</v>
      </c>
      <c r="G635" s="4" t="e">
        <f t="shared" si="19"/>
        <v>#DIV/0!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BoltCalculator</vt:lpstr>
      <vt:lpstr>Metric Bolt Data 4 bolt calc</vt:lpstr>
      <vt:lpstr>BOM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Palmer, Logan</dc:creator>
  <cp:lastModifiedBy>Logan Palmer</cp:lastModifiedBy>
  <dcterms:created xsi:type="dcterms:W3CDTF">2015-06-05T18:17:20Z</dcterms:created>
  <dcterms:modified xsi:type="dcterms:W3CDTF">2026-05-23T19:24:36Z</dcterms:modified>
</cp:coreProperties>
</file>